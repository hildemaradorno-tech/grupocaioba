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gru\Documents\Pos-Venda\Campanha\Agosto\"/>
    </mc:Choice>
  </mc:AlternateContent>
  <xr:revisionPtr revIDLastSave="0" documentId="13_ncr:1_{3139F5D7-1F6D-457E-B2E9-6EFA4F44EF8A}" xr6:coauthVersionLast="47" xr6:coauthVersionMax="47" xr10:uidLastSave="{00000000-0000-0000-0000-000000000000}"/>
  <bookViews>
    <workbookView xWindow="-120" yWindow="-120" windowWidth="29040" windowHeight="15720" xr2:uid="{F734D757-4ECA-4156-B62E-13869BBD4E7A}"/>
  </bookViews>
  <sheets>
    <sheet name="Consultores" sheetId="1" r:id="rId1"/>
    <sheet name="Chefe de oficina" sheetId="4" r:id="rId2"/>
    <sheet name="Mecânicos" sheetId="2" r:id="rId3"/>
    <sheet name="Gerente" sheetId="6" r:id="rId4"/>
    <sheet name="Apontador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7" i="6" l="1"/>
  <c r="K17" i="6" s="1"/>
  <c r="J11" i="6"/>
  <c r="K11" i="6" s="1"/>
  <c r="J14" i="6"/>
  <c r="K14" i="6" s="1"/>
  <c r="G14" i="6"/>
  <c r="F14" i="6"/>
  <c r="G11" i="6"/>
  <c r="F11" i="6"/>
  <c r="G8" i="6"/>
  <c r="H8" i="6" s="1"/>
  <c r="F8" i="6"/>
  <c r="K6" i="4"/>
  <c r="J8" i="6"/>
  <c r="K8" i="6" s="1"/>
  <c r="J5" i="6"/>
  <c r="K5" i="6" s="1"/>
  <c r="G5" i="6"/>
  <c r="F5" i="6"/>
  <c r="D17" i="6"/>
  <c r="C17" i="6"/>
  <c r="D14" i="6"/>
  <c r="C14" i="6"/>
  <c r="E14" i="6" s="1"/>
  <c r="D11" i="6"/>
  <c r="C11" i="6"/>
  <c r="D8" i="6"/>
  <c r="C8" i="6"/>
  <c r="E8" i="6" s="1"/>
  <c r="D5" i="6"/>
  <c r="C5" i="6"/>
  <c r="E5" i="6" s="1"/>
  <c r="G2" i="4"/>
  <c r="F2" i="4"/>
  <c r="E2" i="4"/>
  <c r="D2" i="4"/>
  <c r="D18" i="1"/>
  <c r="D22" i="1" s="1"/>
  <c r="D7" i="1"/>
  <c r="C19" i="1"/>
  <c r="C7" i="1"/>
  <c r="C23" i="1" s="1"/>
  <c r="G23" i="1"/>
  <c r="F23" i="1"/>
  <c r="D23" i="1"/>
  <c r="G22" i="1"/>
  <c r="F22" i="1"/>
  <c r="C22" i="1"/>
  <c r="H7" i="4"/>
  <c r="F7" i="4"/>
  <c r="D7" i="4"/>
  <c r="B7" i="4"/>
  <c r="J7" i="4" s="1"/>
  <c r="K7" i="4" s="1"/>
  <c r="E17" i="6"/>
  <c r="M17" i="6"/>
  <c r="M23" i="1"/>
  <c r="K23" i="1"/>
  <c r="M22" i="1"/>
  <c r="K22" i="1"/>
  <c r="M19" i="1"/>
  <c r="M18" i="1"/>
  <c r="K19" i="1"/>
  <c r="K18" i="1"/>
  <c r="H19" i="1"/>
  <c r="H18" i="1"/>
  <c r="M14" i="6"/>
  <c r="M11" i="6"/>
  <c r="M8" i="6"/>
  <c r="M5" i="6"/>
  <c r="D3" i="1"/>
  <c r="D2" i="1"/>
  <c r="C3" i="1"/>
  <c r="C2" i="1"/>
  <c r="M15" i="1"/>
  <c r="M14" i="1"/>
  <c r="K15" i="1"/>
  <c r="K14" i="1"/>
  <c r="H15" i="1"/>
  <c r="H14" i="1"/>
  <c r="M11" i="1"/>
  <c r="M10" i="1"/>
  <c r="M7" i="1"/>
  <c r="M6" i="1"/>
  <c r="K11" i="1"/>
  <c r="K10" i="1"/>
  <c r="H11" i="1"/>
  <c r="H10" i="1"/>
  <c r="K7" i="1"/>
  <c r="K6" i="1"/>
  <c r="H7" i="1"/>
  <c r="H6" i="1"/>
  <c r="H14" i="6" l="1"/>
  <c r="I14" i="6" s="1"/>
  <c r="H11" i="6"/>
  <c r="G17" i="6"/>
  <c r="H5" i="6"/>
  <c r="I5" i="6" s="1"/>
  <c r="F17" i="6"/>
  <c r="E11" i="6"/>
  <c r="I7" i="4"/>
  <c r="H22" i="1"/>
  <c r="H23" i="1"/>
  <c r="D19" i="1"/>
  <c r="D15" i="1"/>
  <c r="D11" i="1"/>
  <c r="D14" i="1"/>
  <c r="D10" i="1"/>
  <c r="D6" i="1"/>
  <c r="C15" i="1"/>
  <c r="E15" i="1" s="1"/>
  <c r="C11" i="1"/>
  <c r="E11" i="1" s="1"/>
  <c r="C18" i="1"/>
  <c r="E18" i="1" s="1"/>
  <c r="I18" i="1" s="1"/>
  <c r="C6" i="1"/>
  <c r="E19" i="1"/>
  <c r="I19" i="1" s="1"/>
  <c r="C14" i="1"/>
  <c r="E14" i="1" s="1"/>
  <c r="C10" i="1"/>
  <c r="E10" i="1" s="1"/>
  <c r="E7" i="1"/>
  <c r="E23" i="1"/>
  <c r="E6" i="1"/>
  <c r="I6" i="1" s="1"/>
  <c r="G7" i="4"/>
  <c r="E7" i="4"/>
  <c r="C7" i="4"/>
  <c r="E2" i="6"/>
  <c r="E2" i="1"/>
  <c r="E3" i="1"/>
  <c r="H17" i="6" l="1"/>
  <c r="I17" i="6" s="1"/>
  <c r="I11" i="6"/>
  <c r="I23" i="1"/>
  <c r="E22" i="1"/>
  <c r="I22" i="1" s="1"/>
  <c r="I8" i="6"/>
  <c r="I7" i="1"/>
  <c r="I10" i="1"/>
  <c r="I11" i="1"/>
  <c r="I14" i="1" l="1"/>
  <c r="I15" i="1"/>
</calcChain>
</file>

<file path=xl/sharedStrings.xml><?xml version="1.0" encoding="utf-8"?>
<sst xmlns="http://schemas.openxmlformats.org/spreadsheetml/2006/main" count="234" uniqueCount="44">
  <si>
    <t>Partipantes</t>
  </si>
  <si>
    <t>Serviços Total</t>
  </si>
  <si>
    <t>Peças Total</t>
  </si>
  <si>
    <t xml:space="preserve">Semana </t>
  </si>
  <si>
    <t>Meta_Serviços</t>
  </si>
  <si>
    <t>Mês</t>
  </si>
  <si>
    <t>Meta_Peças</t>
  </si>
  <si>
    <t>Ticket_Medio</t>
  </si>
  <si>
    <t>Realizado_Serviços</t>
  </si>
  <si>
    <t>Realizado_Peças</t>
  </si>
  <si>
    <t>% Faturamento</t>
  </si>
  <si>
    <t>% Ticket</t>
  </si>
  <si>
    <t>MB Peças</t>
  </si>
  <si>
    <t>%MB Peças</t>
  </si>
  <si>
    <t>Total</t>
  </si>
  <si>
    <t>Participantes</t>
  </si>
  <si>
    <t>Produtividade</t>
  </si>
  <si>
    <t>Meta_Produtividade</t>
  </si>
  <si>
    <t>&lt;120%</t>
  </si>
  <si>
    <t>Meta_Eficiência</t>
  </si>
  <si>
    <t>Eficiência</t>
  </si>
  <si>
    <t>Participante</t>
  </si>
  <si>
    <t>Faturamento</t>
  </si>
  <si>
    <t>William Chaves Anibal</t>
  </si>
  <si>
    <t>Kaique Lins Batista</t>
  </si>
  <si>
    <t>Pedro Tiago Figueiredo da Cunha</t>
  </si>
  <si>
    <t>Nathan Henrique Vilhalva</t>
  </si>
  <si>
    <t>Yan Ferreira Braga</t>
  </si>
  <si>
    <t>Evandro da Silva Dias Pinheiro</t>
  </si>
  <si>
    <t>Fernando Henrique Guimaraes Silva</t>
  </si>
  <si>
    <t>Thiago Neres Ramires</t>
  </si>
  <si>
    <t>Joao Francisco de Freitas</t>
  </si>
  <si>
    <t>% Produtividade</t>
  </si>
  <si>
    <t>Geovana</t>
  </si>
  <si>
    <t>Focado na conformidade dos processos internos (70% conformidade de apontamento com mínimo de 95% de acerto e 30% suporte à produtividade)</t>
  </si>
  <si>
    <t xml:space="preserve">Danilo </t>
  </si>
  <si>
    <t>01 à 08/08</t>
  </si>
  <si>
    <t>10 à 15/08</t>
  </si>
  <si>
    <t>17 à 22/08</t>
  </si>
  <si>
    <t>24 à 31/08</t>
  </si>
  <si>
    <t>% da meta</t>
  </si>
  <si>
    <t>24 À 31/08</t>
  </si>
  <si>
    <t>Total Meta</t>
  </si>
  <si>
    <t>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</si>
</sst>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9" fontId="0" fillId="0" borderId="1" xfId="0" applyNumberFormat="1" applyBorder="1"/>
    <xf numFmtId="9" fontId="0" fillId="0" borderId="0" xfId="0" applyNumberFormat="1"/>
    <xf numFmtId="10" fontId="0" fillId="0" borderId="1" xfId="1" applyNumberFormat="1" applyFont="1" applyBorder="1"/>
    <xf numFmtId="10" fontId="0" fillId="0" borderId="1" xfId="0" applyNumberFormat="1" applyBorder="1"/>
    <xf numFmtId="0" fontId="2" fillId="0" borderId="1" xfId="0" applyFont="1" applyBorder="1" applyAlignment="1">
      <alignment horizontal="center"/>
    </xf>
    <xf numFmtId="10" fontId="0" fillId="0" borderId="1" xfId="1" applyNumberFormat="1" applyFont="1" applyBorder="1" applyAlignment="1"/>
    <xf numFmtId="9" fontId="2" fillId="0" borderId="0" xfId="0" applyNumberFormat="1" applyFont="1"/>
    <xf numFmtId="10" fontId="1" fillId="0" borderId="1" xfId="1" applyNumberFormat="1" applyFont="1" applyBorder="1"/>
    <xf numFmtId="10" fontId="2" fillId="0" borderId="1" xfId="1" applyNumberFormat="1" applyFont="1" applyBorder="1"/>
    <xf numFmtId="10" fontId="2" fillId="0" borderId="1" xfId="0" applyNumberFormat="1" applyFont="1" applyBorder="1"/>
    <xf numFmtId="0" fontId="0" fillId="0" borderId="2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0" fillId="0" borderId="5" xfId="1" applyNumberFormat="1" applyFont="1" applyBorder="1"/>
    <xf numFmtId="10" fontId="0" fillId="0" borderId="6" xfId="1" applyNumberFormat="1" applyFont="1" applyBorder="1"/>
    <xf numFmtId="10" fontId="0" fillId="0" borderId="7" xfId="1" applyNumberFormat="1" applyFont="1" applyBorder="1"/>
    <xf numFmtId="10" fontId="0" fillId="0" borderId="8" xfId="1" applyNumberFormat="1" applyFont="1" applyBorder="1"/>
    <xf numFmtId="9" fontId="2" fillId="0" borderId="1" xfId="1" applyFont="1" applyBorder="1"/>
    <xf numFmtId="9" fontId="2" fillId="0" borderId="1" xfId="0" applyNumberFormat="1" applyFont="1" applyBorder="1"/>
    <xf numFmtId="0" fontId="3" fillId="0" borderId="0" xfId="0" applyFont="1"/>
    <xf numFmtId="17" fontId="0" fillId="0" borderId="1" xfId="0" applyNumberFormat="1" applyBorder="1"/>
    <xf numFmtId="10" fontId="2" fillId="0" borderId="5" xfId="1" applyNumberFormat="1" applyFont="1" applyBorder="1"/>
    <xf numFmtId="10" fontId="2" fillId="0" borderId="7" xfId="1" applyNumberFormat="1" applyFont="1" applyBorder="1"/>
    <xf numFmtId="10" fontId="1" fillId="0" borderId="8" xfId="1" applyNumberFormat="1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02EC-A5E3-456D-B7ED-5FDCBF32F128}">
  <dimension ref="A1:M23"/>
  <sheetViews>
    <sheetView tabSelected="1" workbookViewId="0">
      <selection activeCell="J23" sqref="J23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4" t="s">
        <v>0</v>
      </c>
      <c r="B1" s="5" t="s">
        <v>5</v>
      </c>
      <c r="C1" s="6" t="s">
        <v>1</v>
      </c>
      <c r="D1" s="6" t="s">
        <v>2</v>
      </c>
      <c r="E1" s="6" t="s">
        <v>14</v>
      </c>
      <c r="F1" s="4" t="s">
        <v>7</v>
      </c>
      <c r="G1" s="4" t="s">
        <v>12</v>
      </c>
      <c r="J1" s="1"/>
      <c r="L1" s="1"/>
    </row>
    <row r="2" spans="1:13" x14ac:dyDescent="0.25">
      <c r="A2" s="7" t="s">
        <v>23</v>
      </c>
      <c r="B2" s="8">
        <v>46235</v>
      </c>
      <c r="C2" s="9">
        <f>199438*60%</f>
        <v>119662.79999999999</v>
      </c>
      <c r="D2" s="9">
        <f>797752*60%</f>
        <v>478651.19999999995</v>
      </c>
      <c r="E2" s="6">
        <f>SUM(C2:D2)</f>
        <v>598314</v>
      </c>
      <c r="F2" s="9">
        <v>5000</v>
      </c>
      <c r="G2" s="10">
        <v>0.3</v>
      </c>
      <c r="H2" s="16"/>
      <c r="I2" s="16"/>
    </row>
    <row r="3" spans="1:13" x14ac:dyDescent="0.25">
      <c r="A3" s="7" t="s">
        <v>24</v>
      </c>
      <c r="B3" s="8">
        <v>46235</v>
      </c>
      <c r="C3" s="9">
        <f>199438*40%</f>
        <v>79775.200000000012</v>
      </c>
      <c r="D3" s="9">
        <f>797752*40%</f>
        <v>319100.80000000005</v>
      </c>
      <c r="E3" s="6">
        <f>SUM(C3:D3)</f>
        <v>398876.00000000006</v>
      </c>
      <c r="F3" s="9">
        <v>5000</v>
      </c>
      <c r="G3" s="10">
        <v>0.3</v>
      </c>
      <c r="H3" s="16"/>
      <c r="I3" s="16"/>
    </row>
    <row r="5" spans="1:13" x14ac:dyDescent="0.25">
      <c r="A5" s="4" t="s">
        <v>0</v>
      </c>
      <c r="B5" s="4" t="s">
        <v>3</v>
      </c>
      <c r="C5" s="6" t="s">
        <v>4</v>
      </c>
      <c r="D5" s="4" t="s">
        <v>6</v>
      </c>
      <c r="E5" s="4" t="s">
        <v>14</v>
      </c>
      <c r="F5" s="6" t="s">
        <v>8</v>
      </c>
      <c r="G5" s="6" t="s">
        <v>9</v>
      </c>
      <c r="H5" s="6" t="s">
        <v>14</v>
      </c>
      <c r="I5" s="4" t="s">
        <v>10</v>
      </c>
      <c r="J5" s="4" t="s">
        <v>7</v>
      </c>
      <c r="K5" s="4" t="s">
        <v>11</v>
      </c>
      <c r="L5" s="4" t="s">
        <v>12</v>
      </c>
      <c r="M5" s="4" t="s">
        <v>13</v>
      </c>
    </row>
    <row r="6" spans="1:13" x14ac:dyDescent="0.25">
      <c r="A6" s="7" t="s">
        <v>23</v>
      </c>
      <c r="B6" s="7" t="s">
        <v>36</v>
      </c>
      <c r="C6" s="9">
        <f>$C$2/22.5*6</f>
        <v>31910.079999999998</v>
      </c>
      <c r="D6" s="9">
        <f>$D$2/22.5*6</f>
        <v>127640.31999999999</v>
      </c>
      <c r="E6" s="9">
        <f t="shared" ref="E6:E7" si="0">SUM(C6:D6)</f>
        <v>159550.39999999999</v>
      </c>
      <c r="F6" s="9">
        <v>4939.42</v>
      </c>
      <c r="G6" s="9">
        <v>21140.91</v>
      </c>
      <c r="H6" s="6">
        <f>SUM(F6:G6)</f>
        <v>26080.33</v>
      </c>
      <c r="I6" s="18">
        <f>H6/E6</f>
        <v>0.16346138900309873</v>
      </c>
      <c r="J6" s="9">
        <v>3214.74</v>
      </c>
      <c r="K6" s="18">
        <f>J6/$F$2</f>
        <v>0.64294799999999996</v>
      </c>
      <c r="L6" s="13">
        <v>0.17119999999999999</v>
      </c>
      <c r="M6" s="19">
        <f>L6/$G$2</f>
        <v>0.57066666666666666</v>
      </c>
    </row>
    <row r="7" spans="1:13" x14ac:dyDescent="0.25">
      <c r="A7" s="7" t="s">
        <v>24</v>
      </c>
      <c r="B7" s="7" t="s">
        <v>36</v>
      </c>
      <c r="C7" s="9">
        <f>$C$3/22.5*6</f>
        <v>21273.386666666673</v>
      </c>
      <c r="D7" s="9">
        <f>$D$3/22.5*6</f>
        <v>85093.546666666691</v>
      </c>
      <c r="E7" s="9">
        <f t="shared" si="0"/>
        <v>106366.93333333336</v>
      </c>
      <c r="F7" s="9">
        <v>0</v>
      </c>
      <c r="G7" s="9">
        <v>0</v>
      </c>
      <c r="H7" s="6">
        <f>SUM(F7:G7)</f>
        <v>0</v>
      </c>
      <c r="I7" s="18">
        <f>H7/E7</f>
        <v>0</v>
      </c>
      <c r="J7" s="9">
        <v>5161.18</v>
      </c>
      <c r="K7" s="18">
        <f>J7/$F$3</f>
        <v>1.0322360000000002</v>
      </c>
      <c r="L7" s="13">
        <v>0.22009999999999999</v>
      </c>
      <c r="M7" s="19">
        <f>L7/$G$3</f>
        <v>0.73366666666666669</v>
      </c>
    </row>
    <row r="8" spans="1:13" x14ac:dyDescent="0.25">
      <c r="E8"/>
      <c r="F8" s="2"/>
      <c r="G8" s="2"/>
      <c r="H8" s="3"/>
      <c r="J8" s="2"/>
    </row>
    <row r="9" spans="1:13" x14ac:dyDescent="0.25">
      <c r="A9" s="4" t="s">
        <v>0</v>
      </c>
      <c r="B9" s="4" t="s">
        <v>3</v>
      </c>
      <c r="C9" s="6" t="s">
        <v>4</v>
      </c>
      <c r="D9" s="4" t="s">
        <v>6</v>
      </c>
      <c r="E9" s="4" t="s">
        <v>14</v>
      </c>
      <c r="F9" s="6" t="s">
        <v>8</v>
      </c>
      <c r="G9" s="6" t="s">
        <v>9</v>
      </c>
      <c r="H9" s="6" t="s">
        <v>14</v>
      </c>
      <c r="I9" s="4" t="s">
        <v>10</v>
      </c>
      <c r="J9" s="6" t="s">
        <v>7</v>
      </c>
      <c r="K9" s="4" t="s">
        <v>11</v>
      </c>
      <c r="L9" s="4" t="s">
        <v>12</v>
      </c>
      <c r="M9" s="4" t="s">
        <v>13</v>
      </c>
    </row>
    <row r="10" spans="1:13" x14ac:dyDescent="0.25">
      <c r="A10" s="7" t="s">
        <v>23</v>
      </c>
      <c r="B10" s="7" t="s">
        <v>37</v>
      </c>
      <c r="C10" s="9">
        <f>$C$2/22.5*5.5</f>
        <v>29250.906666666666</v>
      </c>
      <c r="D10" s="9">
        <f>$D$2/22.5*5.5</f>
        <v>117003.62666666666</v>
      </c>
      <c r="E10" s="9">
        <f t="shared" ref="E10:E11" si="1">SUM(C10:D10)</f>
        <v>146254.53333333333</v>
      </c>
      <c r="F10" s="9">
        <v>8020.17</v>
      </c>
      <c r="G10" s="9">
        <v>39678.35</v>
      </c>
      <c r="H10" s="6">
        <f t="shared" ref="H10:H11" si="2">SUM(F10:G10)</f>
        <v>47698.52</v>
      </c>
      <c r="I10" s="18">
        <f t="shared" ref="I10:I11" si="3">H10/E10</f>
        <v>0.32613361728274631</v>
      </c>
      <c r="J10" s="9">
        <v>3407.04</v>
      </c>
      <c r="K10" s="18">
        <f t="shared" ref="K10:K11" si="4">J10/$F$3</f>
        <v>0.68140800000000001</v>
      </c>
      <c r="L10" s="12">
        <v>7.3300000000000004E-2</v>
      </c>
      <c r="M10" s="19">
        <f>L10/$G$2</f>
        <v>0.24433333333333335</v>
      </c>
    </row>
    <row r="11" spans="1:13" x14ac:dyDescent="0.25">
      <c r="A11" s="7" t="s">
        <v>24</v>
      </c>
      <c r="B11" s="7" t="s">
        <v>37</v>
      </c>
      <c r="C11" s="9">
        <f>$C$3/22.5*5.5</f>
        <v>19500.604444444449</v>
      </c>
      <c r="D11" s="9">
        <f>$D$3/22.5*5.5</f>
        <v>78002.417777777795</v>
      </c>
      <c r="E11" s="9">
        <f t="shared" si="1"/>
        <v>97503.022222222236</v>
      </c>
      <c r="F11" s="9">
        <v>17014.099999999999</v>
      </c>
      <c r="G11" s="9">
        <v>67668.28</v>
      </c>
      <c r="H11" s="6">
        <f t="shared" si="2"/>
        <v>84682.38</v>
      </c>
      <c r="I11" s="18">
        <f t="shared" si="3"/>
        <v>0.86851030942402685</v>
      </c>
      <c r="J11" s="9">
        <v>4981.32</v>
      </c>
      <c r="K11" s="18">
        <f t="shared" si="4"/>
        <v>0.99626399999999993</v>
      </c>
      <c r="L11" s="12">
        <v>0.27600000000000002</v>
      </c>
      <c r="M11" s="19">
        <f>L11/$G$3</f>
        <v>0.92000000000000015</v>
      </c>
    </row>
    <row r="12" spans="1:13" x14ac:dyDescent="0.25">
      <c r="E12" s="4" t="s">
        <v>14</v>
      </c>
      <c r="F12" s="2"/>
      <c r="G12" s="2"/>
      <c r="H12" s="3"/>
      <c r="J12" s="2"/>
    </row>
    <row r="13" spans="1:13" x14ac:dyDescent="0.25">
      <c r="A13" s="4" t="s">
        <v>0</v>
      </c>
      <c r="B13" s="4" t="s">
        <v>3</v>
      </c>
      <c r="C13" s="6" t="s">
        <v>4</v>
      </c>
      <c r="D13" s="4" t="s">
        <v>6</v>
      </c>
      <c r="E13" s="4"/>
      <c r="F13" s="6" t="s">
        <v>8</v>
      </c>
      <c r="G13" s="6" t="s">
        <v>9</v>
      </c>
      <c r="H13" s="6" t="s">
        <v>14</v>
      </c>
      <c r="I13" s="4" t="s">
        <v>10</v>
      </c>
      <c r="J13" s="6" t="s">
        <v>7</v>
      </c>
      <c r="K13" s="4" t="s">
        <v>11</v>
      </c>
      <c r="L13" s="4" t="s">
        <v>12</v>
      </c>
      <c r="M13" s="4" t="s">
        <v>13</v>
      </c>
    </row>
    <row r="14" spans="1:13" x14ac:dyDescent="0.25">
      <c r="A14" s="7" t="s">
        <v>23</v>
      </c>
      <c r="B14" s="7" t="s">
        <v>38</v>
      </c>
      <c r="C14" s="9">
        <f>$C$2/22.5*5.5</f>
        <v>29250.906666666666</v>
      </c>
      <c r="D14" s="9">
        <f>$D$2/22.5*5.5</f>
        <v>117003.62666666666</v>
      </c>
      <c r="E14" s="9">
        <f t="shared" ref="E14:E15" si="5">SUM(C14:D14)</f>
        <v>146254.53333333333</v>
      </c>
      <c r="F14" s="9">
        <v>25262.5</v>
      </c>
      <c r="G14" s="9">
        <v>90410.21</v>
      </c>
      <c r="H14" s="6">
        <f t="shared" ref="H14:H15" si="6">SUM(F14:G14)</f>
        <v>115672.71</v>
      </c>
      <c r="I14" s="18">
        <f t="shared" ref="I14:I15" si="7">H14/E14</f>
        <v>0.79089999717387682</v>
      </c>
      <c r="J14" s="9">
        <v>5915.56</v>
      </c>
      <c r="K14" s="18">
        <f t="shared" ref="K14:K15" si="8">J14/$F$3</f>
        <v>1.1831120000000002</v>
      </c>
      <c r="L14" s="12">
        <v>0.29880000000000001</v>
      </c>
      <c r="M14" s="19">
        <f>L14/$G$3</f>
        <v>0.99600000000000011</v>
      </c>
    </row>
    <row r="15" spans="1:13" x14ac:dyDescent="0.25">
      <c r="A15" s="7" t="s">
        <v>24</v>
      </c>
      <c r="B15" s="7" t="s">
        <v>38</v>
      </c>
      <c r="C15" s="9">
        <f>$C$3/22.5*5.5</f>
        <v>19500.604444444449</v>
      </c>
      <c r="D15" s="9">
        <f>$D$3/22.5*5.5</f>
        <v>78002.417777777795</v>
      </c>
      <c r="E15" s="9">
        <f t="shared" si="5"/>
        <v>97503.022222222236</v>
      </c>
      <c r="F15" s="9">
        <v>36378.5</v>
      </c>
      <c r="G15" s="9">
        <v>111450.21</v>
      </c>
      <c r="H15" s="6">
        <f t="shared" si="6"/>
        <v>147828.71000000002</v>
      </c>
      <c r="I15" s="18">
        <f t="shared" si="7"/>
        <v>1.5161449012634594</v>
      </c>
      <c r="J15" s="9">
        <v>3107.25</v>
      </c>
      <c r="K15" s="18">
        <f t="shared" si="8"/>
        <v>0.62144999999999995</v>
      </c>
      <c r="L15" s="12">
        <v>0.28589999999999999</v>
      </c>
      <c r="M15" s="19">
        <f>L15/$G$3</f>
        <v>0.95299999999999996</v>
      </c>
    </row>
    <row r="16" spans="1:13" x14ac:dyDescent="0.25">
      <c r="E16"/>
      <c r="F16" s="2"/>
      <c r="G16" s="2"/>
      <c r="H16" s="3"/>
      <c r="J16" s="2"/>
    </row>
    <row r="17" spans="1:13" x14ac:dyDescent="0.25">
      <c r="A17" s="4" t="s">
        <v>0</v>
      </c>
      <c r="B17" s="4" t="s">
        <v>3</v>
      </c>
      <c r="C17" s="6" t="s">
        <v>4</v>
      </c>
      <c r="D17" s="4" t="s">
        <v>6</v>
      </c>
      <c r="E17" s="4" t="s">
        <v>14</v>
      </c>
      <c r="F17" s="6" t="s">
        <v>8</v>
      </c>
      <c r="G17" s="6" t="s">
        <v>9</v>
      </c>
      <c r="H17" s="6" t="s">
        <v>14</v>
      </c>
      <c r="I17" s="4" t="s">
        <v>10</v>
      </c>
      <c r="J17" s="6" t="s">
        <v>7</v>
      </c>
      <c r="K17" s="4" t="s">
        <v>11</v>
      </c>
      <c r="L17" s="4" t="s">
        <v>12</v>
      </c>
      <c r="M17" s="4" t="s">
        <v>13</v>
      </c>
    </row>
    <row r="18" spans="1:13" x14ac:dyDescent="0.25">
      <c r="A18" s="7" t="s">
        <v>23</v>
      </c>
      <c r="B18" s="7" t="s">
        <v>39</v>
      </c>
      <c r="C18" s="9">
        <f>$C$2/22.5*5.5</f>
        <v>29250.906666666666</v>
      </c>
      <c r="D18" s="9">
        <f>$D$2/22.5*5.5</f>
        <v>117003.62666666666</v>
      </c>
      <c r="E18" s="9">
        <f t="shared" ref="E18:E19" si="9">SUM(C18:D18)</f>
        <v>146254.53333333333</v>
      </c>
      <c r="F18" s="9">
        <v>9610.5</v>
      </c>
      <c r="G18" s="9">
        <v>5361.34</v>
      </c>
      <c r="H18" s="6">
        <f t="shared" ref="H18:H19" si="10">SUM(F18:G18)</f>
        <v>14971.84</v>
      </c>
      <c r="I18" s="18">
        <f t="shared" ref="I18:I19" si="11">H18/E18</f>
        <v>0.10236838242734812</v>
      </c>
      <c r="J18" s="9">
        <v>2495.31</v>
      </c>
      <c r="K18" s="18">
        <f t="shared" ref="K18:K19" si="12">J18/$F$3</f>
        <v>0.49906200000000001</v>
      </c>
      <c r="L18" s="12">
        <v>0.2727</v>
      </c>
      <c r="M18" s="19">
        <f t="shared" ref="M18:M19" si="13">L18/$G$3</f>
        <v>0.90900000000000003</v>
      </c>
    </row>
    <row r="19" spans="1:13" x14ac:dyDescent="0.25">
      <c r="A19" s="7" t="s">
        <v>24</v>
      </c>
      <c r="B19" s="7" t="s">
        <v>39</v>
      </c>
      <c r="C19" s="9">
        <f>$C$3/22.5*5.5</f>
        <v>19500.604444444449</v>
      </c>
      <c r="D19" s="9">
        <f>$D$3/22.5*5.5</f>
        <v>78002.417777777795</v>
      </c>
      <c r="E19" s="9">
        <f t="shared" si="9"/>
        <v>97503.022222222236</v>
      </c>
      <c r="F19" s="9">
        <v>52074.13</v>
      </c>
      <c r="G19" s="9">
        <v>186739.56</v>
      </c>
      <c r="H19" s="6">
        <f t="shared" si="10"/>
        <v>238813.69</v>
      </c>
      <c r="I19" s="18">
        <f t="shared" si="11"/>
        <v>2.4492952583122207</v>
      </c>
      <c r="J19" s="9">
        <v>5824.72</v>
      </c>
      <c r="K19" s="18">
        <f t="shared" si="12"/>
        <v>1.164944</v>
      </c>
      <c r="L19" s="12">
        <v>0.20910000000000001</v>
      </c>
      <c r="M19" s="19">
        <f t="shared" si="13"/>
        <v>0.69700000000000006</v>
      </c>
    </row>
    <row r="20" spans="1:13" x14ac:dyDescent="0.25">
      <c r="F20" s="2"/>
      <c r="G20" s="2"/>
      <c r="H20" s="3"/>
      <c r="J20" s="2"/>
    </row>
    <row r="21" spans="1:13" x14ac:dyDescent="0.25">
      <c r="A21" s="4" t="s">
        <v>0</v>
      </c>
      <c r="B21" s="4" t="s">
        <v>5</v>
      </c>
      <c r="C21" s="6" t="s">
        <v>4</v>
      </c>
      <c r="D21" s="4" t="s">
        <v>6</v>
      </c>
      <c r="E21" s="4" t="s">
        <v>14</v>
      </c>
      <c r="F21" s="6" t="s">
        <v>8</v>
      </c>
      <c r="G21" s="6" t="s">
        <v>9</v>
      </c>
      <c r="H21" s="6" t="s">
        <v>14</v>
      </c>
      <c r="I21" s="4" t="s">
        <v>10</v>
      </c>
      <c r="J21" s="6" t="s">
        <v>7</v>
      </c>
      <c r="K21" s="4" t="s">
        <v>11</v>
      </c>
      <c r="L21" s="4" t="s">
        <v>12</v>
      </c>
      <c r="M21" s="4" t="s">
        <v>13</v>
      </c>
    </row>
    <row r="22" spans="1:13" x14ac:dyDescent="0.25">
      <c r="A22" s="7" t="s">
        <v>23</v>
      </c>
      <c r="B22" s="30">
        <v>46235</v>
      </c>
      <c r="C22" s="9">
        <f>C6+C10+C14+C18</f>
        <v>119662.79999999999</v>
      </c>
      <c r="D22" s="9">
        <f>D6+D10+D14+D18</f>
        <v>478651.19999999995</v>
      </c>
      <c r="E22" s="9">
        <f t="shared" ref="E22:E23" si="14">SUM(C22:D22)</f>
        <v>598314</v>
      </c>
      <c r="F22" s="9">
        <f t="shared" ref="F22:H23" si="15">F6+F10+F14+F18</f>
        <v>47832.59</v>
      </c>
      <c r="G22" s="9">
        <f t="shared" si="15"/>
        <v>156590.81</v>
      </c>
      <c r="H22" s="9">
        <f t="shared" si="15"/>
        <v>204423.4</v>
      </c>
      <c r="I22" s="12">
        <f t="shared" ref="I22:I23" si="16">H22/E22</f>
        <v>0.34166574741690819</v>
      </c>
      <c r="J22" s="9">
        <v>4258.82</v>
      </c>
      <c r="K22" s="12">
        <f t="shared" ref="K22:K23" si="17">J22/$F$3</f>
        <v>0.85176399999999997</v>
      </c>
      <c r="L22" s="12">
        <v>0.24379999999999999</v>
      </c>
      <c r="M22" s="13">
        <f t="shared" ref="M22:M23" si="18">L22/$G$3</f>
        <v>0.81266666666666665</v>
      </c>
    </row>
    <row r="23" spans="1:13" x14ac:dyDescent="0.25">
      <c r="A23" s="7" t="s">
        <v>24</v>
      </c>
      <c r="B23" s="30">
        <v>46235</v>
      </c>
      <c r="C23" s="9">
        <f>C7+C11+C15+C19</f>
        <v>79775.200000000012</v>
      </c>
      <c r="D23" s="9">
        <f>D7+D11+D15+D19</f>
        <v>319100.80000000005</v>
      </c>
      <c r="E23" s="9">
        <f t="shared" si="14"/>
        <v>398876.00000000006</v>
      </c>
      <c r="F23" s="9">
        <f t="shared" si="15"/>
        <v>105466.73</v>
      </c>
      <c r="G23" s="9">
        <f t="shared" si="15"/>
        <v>365858.05</v>
      </c>
      <c r="H23" s="9">
        <f t="shared" si="15"/>
        <v>471324.78</v>
      </c>
      <c r="I23" s="12">
        <f t="shared" si="16"/>
        <v>1.1816323368665951</v>
      </c>
      <c r="J23" s="9">
        <v>4620.83</v>
      </c>
      <c r="K23" s="12">
        <f t="shared" si="17"/>
        <v>0.92416599999999993</v>
      </c>
      <c r="L23" s="12">
        <v>0.24479999999999999</v>
      </c>
      <c r="M23" s="13">
        <f t="shared" si="18"/>
        <v>0.81599999999999995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4AF7-D37B-49FE-97D5-EC4C363F6486}">
  <dimension ref="A1:K7"/>
  <sheetViews>
    <sheetView workbookViewId="0">
      <selection activeCell="J11" sqref="J11"/>
    </sheetView>
  </sheetViews>
  <sheetFormatPr defaultRowHeight="15" x14ac:dyDescent="0.25"/>
  <cols>
    <col min="1" max="1" width="20.28515625" bestFit="1" customWidth="1"/>
    <col min="2" max="2" width="13.28515625" customWidth="1"/>
    <col min="3" max="3" width="12.28515625" style="2" customWidth="1"/>
    <col min="4" max="4" width="11.140625" customWidth="1"/>
    <col min="5" max="5" width="11.28515625" customWidth="1"/>
    <col min="6" max="6" width="10.7109375" customWidth="1"/>
    <col min="7" max="7" width="9.85546875" customWidth="1"/>
    <col min="8" max="8" width="11.5703125" customWidth="1"/>
    <col min="9" max="9" width="10" customWidth="1"/>
    <col min="10" max="10" width="10.140625" bestFit="1" customWidth="1"/>
    <col min="11" max="11" width="12.5703125" customWidth="1"/>
  </cols>
  <sheetData>
    <row r="1" spans="1:11" x14ac:dyDescent="0.25">
      <c r="A1" s="4" t="s">
        <v>21</v>
      </c>
      <c r="B1" s="4" t="s">
        <v>16</v>
      </c>
      <c r="C1" s="6" t="s">
        <v>22</v>
      </c>
      <c r="D1" s="4" t="s">
        <v>36</v>
      </c>
      <c r="E1" s="4" t="s">
        <v>37</v>
      </c>
      <c r="F1" s="4" t="s">
        <v>38</v>
      </c>
      <c r="G1" s="4" t="s">
        <v>39</v>
      </c>
      <c r="H1" s="4"/>
    </row>
    <row r="2" spans="1:11" x14ac:dyDescent="0.25">
      <c r="A2" s="7" t="s">
        <v>35</v>
      </c>
      <c r="B2" s="10">
        <v>0.57999999999999996</v>
      </c>
      <c r="C2" s="9">
        <v>199438</v>
      </c>
      <c r="D2" s="9">
        <f>$C$2/22.5*6</f>
        <v>53183.46666666666</v>
      </c>
      <c r="E2" s="9">
        <f>$C$2/22.5*5.5</f>
        <v>48751.511111111111</v>
      </c>
      <c r="F2" s="9">
        <f>$C$2/22.5*5.5</f>
        <v>48751.511111111111</v>
      </c>
      <c r="G2" s="9">
        <f>$C$2/22.5*5.5</f>
        <v>48751.511111111111</v>
      </c>
      <c r="H2" s="9"/>
    </row>
    <row r="3" spans="1:11" x14ac:dyDescent="0.25">
      <c r="B3" s="11"/>
      <c r="D3" s="2"/>
      <c r="E3" s="2"/>
      <c r="F3" s="2"/>
      <c r="G3" s="2"/>
      <c r="H3" s="2"/>
    </row>
    <row r="4" spans="1:11" x14ac:dyDescent="0.25">
      <c r="B4" s="11"/>
    </row>
    <row r="5" spans="1:11" x14ac:dyDescent="0.25">
      <c r="A5" s="4"/>
      <c r="B5" s="4" t="s">
        <v>36</v>
      </c>
      <c r="C5" s="14" t="s">
        <v>40</v>
      </c>
      <c r="D5" s="4" t="s">
        <v>37</v>
      </c>
      <c r="E5" s="14" t="s">
        <v>40</v>
      </c>
      <c r="F5" s="4" t="s">
        <v>38</v>
      </c>
      <c r="G5" s="14" t="s">
        <v>40</v>
      </c>
      <c r="H5" s="4" t="s">
        <v>39</v>
      </c>
      <c r="I5" s="14" t="s">
        <v>40</v>
      </c>
      <c r="J5" s="4" t="s">
        <v>14</v>
      </c>
      <c r="K5" s="14" t="s">
        <v>40</v>
      </c>
    </row>
    <row r="6" spans="1:11" x14ac:dyDescent="0.25">
      <c r="A6" s="4" t="s">
        <v>16</v>
      </c>
      <c r="B6" s="17">
        <v>6.3100000000000003E-2</v>
      </c>
      <c r="C6" s="15"/>
      <c r="D6" s="12">
        <v>0.52090000000000003</v>
      </c>
      <c r="E6" s="15"/>
      <c r="F6" s="13">
        <v>0.78610000000000002</v>
      </c>
      <c r="G6" s="15"/>
      <c r="H6" s="13">
        <v>0.5796</v>
      </c>
      <c r="I6" s="15"/>
      <c r="J6" s="13">
        <v>0.49890000000000001</v>
      </c>
      <c r="K6" s="13">
        <f>J6/B2</f>
        <v>0.8601724137931035</v>
      </c>
    </row>
    <row r="7" spans="1:11" x14ac:dyDescent="0.25">
      <c r="A7" s="4" t="s">
        <v>22</v>
      </c>
      <c r="B7" s="9">
        <f>Consultores!F6+Consultores!F7</f>
        <v>4939.42</v>
      </c>
      <c r="C7" s="15">
        <f>B7/D2</f>
        <v>9.2875104042359047E-2</v>
      </c>
      <c r="D7" s="9">
        <f>Consultores!F10+Consultores!F11</f>
        <v>25034.269999999997</v>
      </c>
      <c r="E7" s="15">
        <f>D7/E2</f>
        <v>0.51350756990780455</v>
      </c>
      <c r="F7" s="9">
        <f>Consultores!F14+Consultores!F15</f>
        <v>61641</v>
      </c>
      <c r="G7" s="12">
        <f>F7/F2</f>
        <v>1.2643915766941469</v>
      </c>
      <c r="H7" s="9">
        <f>Consultores!F18+Consultores!F19</f>
        <v>61684.63</v>
      </c>
      <c r="I7" s="12">
        <f>H7/G2</f>
        <v>1.2652865233123258</v>
      </c>
      <c r="J7" s="9">
        <f>B7+D7+F7+H7</f>
        <v>153299.32</v>
      </c>
      <c r="K7" s="12">
        <f>J7/C2</f>
        <v>0.76865652483478575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80AB-76F4-4A7D-8755-CC9D2B9A40F5}">
  <dimension ref="A1:M8"/>
  <sheetViews>
    <sheetView workbookViewId="0">
      <selection activeCell="J1" sqref="J1:K1"/>
    </sheetView>
  </sheetViews>
  <sheetFormatPr defaultColWidth="10.42578125" defaultRowHeight="15" x14ac:dyDescent="0.25"/>
  <cols>
    <col min="1" max="1" width="30.28515625" bestFit="1" customWidth="1"/>
    <col min="2" max="2" width="17.85546875" bestFit="1" customWidth="1"/>
    <col min="3" max="3" width="14.28515625" customWidth="1"/>
    <col min="4" max="4" width="12.7109375" bestFit="1" customWidth="1"/>
    <col min="6" max="6" width="12.7109375" customWidth="1"/>
    <col min="8" max="8" width="12" customWidth="1"/>
    <col min="10" max="10" width="12.7109375" bestFit="1" customWidth="1"/>
    <col min="12" max="12" width="12.7109375" bestFit="1" customWidth="1"/>
  </cols>
  <sheetData>
    <row r="1" spans="1:13" x14ac:dyDescent="0.25">
      <c r="A1" s="36" t="s">
        <v>15</v>
      </c>
      <c r="B1" s="36" t="s">
        <v>17</v>
      </c>
      <c r="C1" s="37" t="s">
        <v>19</v>
      </c>
      <c r="D1" s="37" t="s">
        <v>36</v>
      </c>
      <c r="E1" s="38"/>
      <c r="F1" s="37" t="s">
        <v>37</v>
      </c>
      <c r="G1" s="38"/>
      <c r="H1" s="37" t="s">
        <v>38</v>
      </c>
      <c r="I1" s="38"/>
      <c r="J1" s="37" t="s">
        <v>39</v>
      </c>
      <c r="K1" s="39"/>
      <c r="L1" s="34" t="s">
        <v>14</v>
      </c>
      <c r="M1" s="35"/>
    </row>
    <row r="2" spans="1:13" x14ac:dyDescent="0.25">
      <c r="A2" s="36"/>
      <c r="B2" s="36"/>
      <c r="C2" s="37"/>
      <c r="D2" s="21" t="s">
        <v>16</v>
      </c>
      <c r="E2" s="22" t="s">
        <v>20</v>
      </c>
      <c r="F2" s="21" t="s">
        <v>16</v>
      </c>
      <c r="G2" s="22" t="s">
        <v>20</v>
      </c>
      <c r="H2" s="21" t="s">
        <v>16</v>
      </c>
      <c r="I2" s="22" t="s">
        <v>20</v>
      </c>
      <c r="J2" s="21" t="s">
        <v>16</v>
      </c>
      <c r="K2" s="22" t="s">
        <v>20</v>
      </c>
      <c r="L2" s="21" t="s">
        <v>16</v>
      </c>
      <c r="M2" s="22" t="s">
        <v>20</v>
      </c>
    </row>
    <row r="3" spans="1:13" x14ac:dyDescent="0.25">
      <c r="A3" s="7" t="s">
        <v>25</v>
      </c>
      <c r="B3" s="10">
        <v>0.57999999999999996</v>
      </c>
      <c r="C3" s="20" t="s">
        <v>18</v>
      </c>
      <c r="D3" s="31">
        <v>0</v>
      </c>
      <c r="E3" s="24">
        <v>0</v>
      </c>
      <c r="F3" s="31">
        <v>2.4674999999999998</v>
      </c>
      <c r="G3" s="24">
        <v>0.78420000000000001</v>
      </c>
      <c r="H3" s="31">
        <v>0.40179999999999999</v>
      </c>
      <c r="I3" s="24">
        <v>0.88990000000000002</v>
      </c>
      <c r="J3" s="31">
        <v>0.28499999999999998</v>
      </c>
      <c r="K3" s="24">
        <v>0.79869999999999997</v>
      </c>
      <c r="L3" s="23">
        <v>0.37590000000000001</v>
      </c>
      <c r="M3" s="24">
        <v>0.83050000000000002</v>
      </c>
    </row>
    <row r="4" spans="1:13" x14ac:dyDescent="0.25">
      <c r="A4" s="7" t="s">
        <v>26</v>
      </c>
      <c r="B4" s="10">
        <v>0.57999999999999996</v>
      </c>
      <c r="C4" s="20" t="s">
        <v>18</v>
      </c>
      <c r="D4" s="23">
        <v>6.2399999999999997E-2</v>
      </c>
      <c r="E4" s="23">
        <v>0.34250000000000003</v>
      </c>
      <c r="F4" s="23">
        <v>0.29670000000000002</v>
      </c>
      <c r="G4" s="23">
        <v>0.9335</v>
      </c>
      <c r="H4" s="23">
        <v>0.91739999999999999</v>
      </c>
      <c r="I4" s="24">
        <v>0.71850000000000003</v>
      </c>
      <c r="J4" s="24">
        <v>0.4677</v>
      </c>
      <c r="K4" s="24">
        <v>0.6038</v>
      </c>
      <c r="L4" s="23">
        <v>0.3831</v>
      </c>
      <c r="M4" s="24">
        <v>0.70009999999999994</v>
      </c>
    </row>
    <row r="5" spans="1:13" x14ac:dyDescent="0.25">
      <c r="A5" s="7" t="s">
        <v>27</v>
      </c>
      <c r="B5" s="10">
        <v>0.57999999999999996</v>
      </c>
      <c r="C5" s="20" t="s">
        <v>18</v>
      </c>
      <c r="D5" s="31">
        <v>0.17849999999999999</v>
      </c>
      <c r="E5" s="24">
        <v>0.87870000000000004</v>
      </c>
      <c r="F5" s="31">
        <v>0.27050000000000002</v>
      </c>
      <c r="G5" s="24">
        <v>1.1160000000000001</v>
      </c>
      <c r="H5" s="31">
        <v>0.81979999999999997</v>
      </c>
      <c r="I5" s="24">
        <v>0.96950000000000003</v>
      </c>
      <c r="J5" s="31">
        <v>0.4612</v>
      </c>
      <c r="K5" s="24">
        <v>0.58930000000000005</v>
      </c>
      <c r="L5" s="23">
        <v>0.44940000000000002</v>
      </c>
      <c r="M5" s="24">
        <v>0.81850000000000001</v>
      </c>
    </row>
    <row r="6" spans="1:13" x14ac:dyDescent="0.25">
      <c r="A6" s="7" t="s">
        <v>28</v>
      </c>
      <c r="B6" s="10">
        <v>0.57999999999999996</v>
      </c>
      <c r="C6" s="20" t="s">
        <v>18</v>
      </c>
      <c r="D6" s="23">
        <v>0</v>
      </c>
      <c r="E6" s="24">
        <v>0</v>
      </c>
      <c r="F6" s="31">
        <v>0.3755</v>
      </c>
      <c r="G6" s="24">
        <v>0.83840000000000003</v>
      </c>
      <c r="H6" s="31">
        <v>0.82889999999999997</v>
      </c>
      <c r="I6" s="24">
        <v>1.0693999999999999</v>
      </c>
      <c r="J6" s="31">
        <v>0.40589999999999998</v>
      </c>
      <c r="K6" s="24">
        <v>0.76790000000000003</v>
      </c>
      <c r="L6" s="23">
        <v>0.40939999999999999</v>
      </c>
      <c r="M6" s="24">
        <v>0.95150000000000001</v>
      </c>
    </row>
    <row r="7" spans="1:13" x14ac:dyDescent="0.25">
      <c r="A7" s="7" t="s">
        <v>29</v>
      </c>
      <c r="B7" s="10">
        <v>0.57999999999999996</v>
      </c>
      <c r="C7" s="20" t="s">
        <v>18</v>
      </c>
      <c r="D7" s="31">
        <v>4.8099999999999997E-2</v>
      </c>
      <c r="E7" s="24">
        <v>0.99129999999999996</v>
      </c>
      <c r="F7" s="31">
        <v>0.33529999999999999</v>
      </c>
      <c r="G7" s="24">
        <v>0.9375</v>
      </c>
      <c r="H7" s="31">
        <v>0.77810000000000001</v>
      </c>
      <c r="I7" s="24">
        <v>1.0461</v>
      </c>
      <c r="J7" s="31">
        <v>0.79020000000000001</v>
      </c>
      <c r="K7" s="24">
        <v>1.0111000000000001</v>
      </c>
      <c r="L7" s="23">
        <v>0.50929999999999997</v>
      </c>
      <c r="M7" s="24">
        <v>0.98880000000000001</v>
      </c>
    </row>
    <row r="8" spans="1:13" ht="15.75" thickBot="1" x14ac:dyDescent="0.3">
      <c r="A8" s="7" t="s">
        <v>30</v>
      </c>
      <c r="B8" s="10">
        <v>0.57999999999999996</v>
      </c>
      <c r="C8" s="20" t="s">
        <v>18</v>
      </c>
      <c r="D8" s="32">
        <v>6.5199999999999994E-2</v>
      </c>
      <c r="E8" s="26">
        <v>1.0627</v>
      </c>
      <c r="F8" s="32" t="s">
        <v>43</v>
      </c>
      <c r="G8" s="26" t="s">
        <v>43</v>
      </c>
      <c r="H8" s="32">
        <v>2.4674999999999998</v>
      </c>
      <c r="I8" s="33">
        <v>0.97470000000000001</v>
      </c>
      <c r="J8" s="25">
        <v>9.4100000000000003E-2</v>
      </c>
      <c r="K8" s="26">
        <v>0.3947</v>
      </c>
      <c r="L8" s="25">
        <v>0.36699999999999999</v>
      </c>
      <c r="M8" s="26">
        <v>0.79369999999999996</v>
      </c>
    </row>
  </sheetData>
  <mergeCells count="8">
    <mergeCell ref="L1:M1"/>
    <mergeCell ref="A1:A2"/>
    <mergeCell ref="B1:B2"/>
    <mergeCell ref="C1:C2"/>
    <mergeCell ref="D1:E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EDC3-3700-489F-873C-6BD34EF0C3F5}">
  <dimension ref="A1:M17"/>
  <sheetViews>
    <sheetView workbookViewId="0">
      <selection activeCell="B17" sqref="B17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4" t="s">
        <v>0</v>
      </c>
      <c r="B1" s="5" t="s">
        <v>5</v>
      </c>
      <c r="C1" s="6" t="s">
        <v>1</v>
      </c>
      <c r="D1" s="6" t="s">
        <v>2</v>
      </c>
      <c r="E1" s="6" t="s">
        <v>14</v>
      </c>
      <c r="F1" s="4" t="s">
        <v>16</v>
      </c>
      <c r="G1" s="4" t="s">
        <v>12</v>
      </c>
      <c r="J1" s="1"/>
      <c r="L1" s="1"/>
    </row>
    <row r="2" spans="1:13" x14ac:dyDescent="0.25">
      <c r="A2" s="7" t="s">
        <v>31</v>
      </c>
      <c r="B2" s="8">
        <v>46235</v>
      </c>
      <c r="C2" s="9">
        <v>199438</v>
      </c>
      <c r="D2" s="9">
        <v>797752</v>
      </c>
      <c r="E2" s="6">
        <f>SUM(C2:D2)</f>
        <v>997190</v>
      </c>
      <c r="F2" s="27">
        <v>0.57999999999999996</v>
      </c>
      <c r="G2" s="28">
        <v>0.3</v>
      </c>
      <c r="H2" s="16"/>
      <c r="I2" s="16"/>
    </row>
    <row r="4" spans="1:13" x14ac:dyDescent="0.25">
      <c r="A4" s="4" t="s">
        <v>0</v>
      </c>
      <c r="B4" s="4" t="s">
        <v>3</v>
      </c>
      <c r="C4" s="6" t="s">
        <v>4</v>
      </c>
      <c r="D4" s="4" t="s">
        <v>6</v>
      </c>
      <c r="E4" s="4" t="s">
        <v>14</v>
      </c>
      <c r="F4" s="6" t="s">
        <v>8</v>
      </c>
      <c r="G4" s="6" t="s">
        <v>9</v>
      </c>
      <c r="H4" s="6" t="s">
        <v>14</v>
      </c>
      <c r="I4" s="4" t="s">
        <v>10</v>
      </c>
      <c r="J4" s="4" t="s">
        <v>16</v>
      </c>
      <c r="K4" s="4" t="s">
        <v>32</v>
      </c>
      <c r="L4" s="4" t="s">
        <v>12</v>
      </c>
      <c r="M4" s="4" t="s">
        <v>13</v>
      </c>
    </row>
    <row r="5" spans="1:13" x14ac:dyDescent="0.25">
      <c r="A5" s="7" t="s">
        <v>31</v>
      </c>
      <c r="B5" s="7" t="s">
        <v>36</v>
      </c>
      <c r="C5" s="9">
        <f>$C$2/22.5*6</f>
        <v>53183.46666666666</v>
      </c>
      <c r="D5" s="9">
        <f>$D$2/22.5*6</f>
        <v>212733.86666666664</v>
      </c>
      <c r="E5" s="6">
        <f t="shared" ref="E5" si="0">SUM(C5:D5)</f>
        <v>265917.33333333331</v>
      </c>
      <c r="F5" s="9">
        <f>Consultores!F6+Consultores!F7</f>
        <v>4939.42</v>
      </c>
      <c r="G5" s="9">
        <f>Consultores!G6+Consultores!G7</f>
        <v>21140.91</v>
      </c>
      <c r="H5" s="6">
        <f>SUM(F5:G5)</f>
        <v>26080.33</v>
      </c>
      <c r="I5" s="18">
        <f>H5/E5</f>
        <v>9.8076833401859242E-2</v>
      </c>
      <c r="J5" s="12">
        <f>'Chefe de oficina'!B6</f>
        <v>6.3100000000000003E-2</v>
      </c>
      <c r="K5" s="18">
        <f>J5/$F$2</f>
        <v>0.10879310344827588</v>
      </c>
      <c r="L5" s="13">
        <v>0.18360000000000001</v>
      </c>
      <c r="M5" s="19">
        <f>L5/$G$2</f>
        <v>0.6120000000000001</v>
      </c>
    </row>
    <row r="6" spans="1:13" x14ac:dyDescent="0.25">
      <c r="F6" s="2"/>
      <c r="G6" s="2"/>
      <c r="H6" s="3"/>
      <c r="J6" s="2"/>
    </row>
    <row r="7" spans="1:13" x14ac:dyDescent="0.25">
      <c r="A7" s="4" t="s">
        <v>0</v>
      </c>
      <c r="B7" s="4" t="s">
        <v>3</v>
      </c>
      <c r="C7" s="6" t="s">
        <v>4</v>
      </c>
      <c r="D7" s="4" t="s">
        <v>6</v>
      </c>
      <c r="E7" s="4" t="s">
        <v>14</v>
      </c>
      <c r="F7" s="6" t="s">
        <v>8</v>
      </c>
      <c r="G7" s="6" t="s">
        <v>9</v>
      </c>
      <c r="H7" s="6" t="s">
        <v>14</v>
      </c>
      <c r="I7" s="4" t="s">
        <v>10</v>
      </c>
      <c r="J7" s="4" t="s">
        <v>16</v>
      </c>
      <c r="K7" s="4" t="s">
        <v>32</v>
      </c>
      <c r="L7" s="4" t="s">
        <v>12</v>
      </c>
      <c r="M7" s="4" t="s">
        <v>13</v>
      </c>
    </row>
    <row r="8" spans="1:13" x14ac:dyDescent="0.25">
      <c r="A8" s="7" t="s">
        <v>31</v>
      </c>
      <c r="B8" s="7" t="s">
        <v>37</v>
      </c>
      <c r="C8" s="9">
        <f>$C$2/22.5*5.5</f>
        <v>48751.511111111111</v>
      </c>
      <c r="D8" s="9">
        <f>$D$2/22.5*5.5</f>
        <v>195006.04444444444</v>
      </c>
      <c r="E8" s="6">
        <f t="shared" ref="E8" si="1">SUM(C8:D8)</f>
        <v>243757.55555555556</v>
      </c>
      <c r="F8" s="9">
        <f>Consultores!F10+Consultores!F11</f>
        <v>25034.269999999997</v>
      </c>
      <c r="G8" s="9">
        <f>Consultores!G10+Consultores!G11</f>
        <v>107346.63</v>
      </c>
      <c r="H8" s="6">
        <f t="shared" ref="H8" si="2">SUM(F8:G8)</f>
        <v>132380.9</v>
      </c>
      <c r="I8" s="18">
        <f t="shared" ref="I8" si="3">H8/E8</f>
        <v>0.54308429413925852</v>
      </c>
      <c r="J8" s="17">
        <f>'Chefe de oficina'!D6</f>
        <v>0.52090000000000003</v>
      </c>
      <c r="K8" s="18">
        <f>J8/$F$2</f>
        <v>0.89810344827586219</v>
      </c>
      <c r="L8" s="12">
        <v>0.2011</v>
      </c>
      <c r="M8" s="19">
        <f>L8/$G$2</f>
        <v>0.67033333333333334</v>
      </c>
    </row>
    <row r="9" spans="1:13" x14ac:dyDescent="0.25">
      <c r="E9" s="4" t="s">
        <v>14</v>
      </c>
      <c r="F9" s="2"/>
      <c r="G9" s="2"/>
      <c r="H9" s="3"/>
      <c r="J9" s="2"/>
    </row>
    <row r="10" spans="1:13" x14ac:dyDescent="0.25">
      <c r="A10" s="4" t="s">
        <v>0</v>
      </c>
      <c r="B10" s="4" t="s">
        <v>3</v>
      </c>
      <c r="C10" s="6" t="s">
        <v>4</v>
      </c>
      <c r="D10" s="4" t="s">
        <v>6</v>
      </c>
      <c r="E10" s="4"/>
      <c r="F10" s="6" t="s">
        <v>8</v>
      </c>
      <c r="G10" s="6" t="s">
        <v>9</v>
      </c>
      <c r="H10" s="6" t="s">
        <v>14</v>
      </c>
      <c r="I10" s="4" t="s">
        <v>10</v>
      </c>
      <c r="J10" s="4" t="s">
        <v>16</v>
      </c>
      <c r="K10" s="4" t="s">
        <v>32</v>
      </c>
      <c r="L10" s="4" t="s">
        <v>12</v>
      </c>
      <c r="M10" s="4" t="s">
        <v>13</v>
      </c>
    </row>
    <row r="11" spans="1:13" x14ac:dyDescent="0.25">
      <c r="A11" s="7" t="s">
        <v>31</v>
      </c>
      <c r="B11" s="7" t="s">
        <v>38</v>
      </c>
      <c r="C11" s="9">
        <f>$C$2/22.5*5.5</f>
        <v>48751.511111111111</v>
      </c>
      <c r="D11" s="9">
        <f>$D$2/22.5*5.5</f>
        <v>195006.04444444444</v>
      </c>
      <c r="E11" s="6">
        <f t="shared" ref="E11" si="4">SUM(C11:D11)</f>
        <v>243757.55555555556</v>
      </c>
      <c r="F11" s="9">
        <f>Consultores!F14+Consultores!F15</f>
        <v>61641</v>
      </c>
      <c r="G11" s="9">
        <f>Consultores!G14+Consultores!G15</f>
        <v>201860.42</v>
      </c>
      <c r="H11" s="6">
        <f t="shared" ref="H11" si="5">SUM(F11:G11)</f>
        <v>263501.42000000004</v>
      </c>
      <c r="I11" s="18">
        <f t="shared" ref="I11" si="6">H11/E11</f>
        <v>1.0809979588097101</v>
      </c>
      <c r="J11" s="12">
        <f>'Chefe de oficina'!F6</f>
        <v>0.78610000000000002</v>
      </c>
      <c r="K11" s="18">
        <f>J11/$F$2</f>
        <v>1.355344827586207</v>
      </c>
      <c r="L11" s="12">
        <v>0.29160000000000003</v>
      </c>
      <c r="M11" s="19">
        <f>L11/$G$2</f>
        <v>0.97200000000000009</v>
      </c>
    </row>
    <row r="12" spans="1:13" x14ac:dyDescent="0.25">
      <c r="F12" s="2"/>
      <c r="G12" s="2"/>
      <c r="H12" s="3"/>
      <c r="J12" s="2"/>
    </row>
    <row r="13" spans="1:13" x14ac:dyDescent="0.25">
      <c r="A13" s="4" t="s">
        <v>0</v>
      </c>
      <c r="B13" s="4" t="s">
        <v>3</v>
      </c>
      <c r="C13" s="6" t="s">
        <v>4</v>
      </c>
      <c r="D13" s="4" t="s">
        <v>6</v>
      </c>
      <c r="E13" s="4" t="s">
        <v>14</v>
      </c>
      <c r="F13" s="6" t="s">
        <v>8</v>
      </c>
      <c r="G13" s="6" t="s">
        <v>9</v>
      </c>
      <c r="H13" s="6" t="s">
        <v>14</v>
      </c>
      <c r="I13" s="4" t="s">
        <v>10</v>
      </c>
      <c r="J13" s="4" t="s">
        <v>16</v>
      </c>
      <c r="K13" s="4" t="s">
        <v>32</v>
      </c>
      <c r="L13" s="4" t="s">
        <v>12</v>
      </c>
      <c r="M13" s="4" t="s">
        <v>13</v>
      </c>
    </row>
    <row r="14" spans="1:13" x14ac:dyDescent="0.25">
      <c r="A14" s="7" t="s">
        <v>31</v>
      </c>
      <c r="B14" s="7" t="s">
        <v>39</v>
      </c>
      <c r="C14" s="9">
        <f>$C$2/22.5*5.5</f>
        <v>48751.511111111111</v>
      </c>
      <c r="D14" s="9">
        <f>$D$2/22.5*5.5</f>
        <v>195006.04444444444</v>
      </c>
      <c r="E14" s="6">
        <f t="shared" ref="E14" si="7">SUM(C14:D14)</f>
        <v>243757.55555555556</v>
      </c>
      <c r="F14" s="9">
        <f>Consultores!F18+Consultores!F19</f>
        <v>61684.63</v>
      </c>
      <c r="G14" s="9">
        <f>Consultores!G18+Consultores!G19</f>
        <v>192100.9</v>
      </c>
      <c r="H14" s="6">
        <f t="shared" ref="H14" si="8">SUM(F14:G14)</f>
        <v>253785.53</v>
      </c>
      <c r="I14" s="18">
        <f t="shared" ref="I14" si="9">H14/E14</f>
        <v>1.0411391327812973</v>
      </c>
      <c r="J14" s="12">
        <f>'Chefe de oficina'!H6</f>
        <v>0.5796</v>
      </c>
      <c r="K14" s="18">
        <f>J14/$F$2</f>
        <v>0.99931034482758629</v>
      </c>
      <c r="L14" s="12">
        <v>0.21079999999999999</v>
      </c>
      <c r="M14" s="19">
        <f>L14/$G$2</f>
        <v>0.70266666666666666</v>
      </c>
    </row>
    <row r="16" spans="1:13" x14ac:dyDescent="0.25">
      <c r="A16" s="4" t="s">
        <v>0</v>
      </c>
      <c r="B16" s="4" t="s">
        <v>3</v>
      </c>
      <c r="C16" s="6" t="s">
        <v>4</v>
      </c>
      <c r="D16" s="4" t="s">
        <v>6</v>
      </c>
      <c r="E16" s="4" t="s">
        <v>14</v>
      </c>
      <c r="F16" s="6" t="s">
        <v>8</v>
      </c>
      <c r="G16" s="6" t="s">
        <v>9</v>
      </c>
      <c r="H16" s="6" t="s">
        <v>14</v>
      </c>
      <c r="I16" s="4" t="s">
        <v>10</v>
      </c>
      <c r="J16" s="4" t="s">
        <v>16</v>
      </c>
      <c r="K16" s="4" t="s">
        <v>32</v>
      </c>
      <c r="L16" s="4" t="s">
        <v>12</v>
      </c>
      <c r="M16" s="4" t="s">
        <v>13</v>
      </c>
    </row>
    <row r="17" spans="1:13" x14ac:dyDescent="0.25">
      <c r="A17" s="7" t="s">
        <v>31</v>
      </c>
      <c r="B17" s="30">
        <v>46235</v>
      </c>
      <c r="C17" s="9">
        <f>+C5+C8+C11+C14</f>
        <v>199438</v>
      </c>
      <c r="D17" s="9">
        <f>+D5+D8+D11+D14</f>
        <v>797752</v>
      </c>
      <c r="E17" s="6">
        <f t="shared" ref="E17" si="10">SUM(C17:D17)</f>
        <v>997190</v>
      </c>
      <c r="F17" s="9">
        <f>+F5+F8+F11+F14</f>
        <v>153299.32</v>
      </c>
      <c r="G17" s="9">
        <f>+G5+G8+G11+G14</f>
        <v>522448.86</v>
      </c>
      <c r="H17" s="6">
        <f t="shared" ref="H17" si="11">SUM(F17:G17)</f>
        <v>675748.17999999993</v>
      </c>
      <c r="I17" s="18">
        <f t="shared" ref="I17" si="12">H17/E17</f>
        <v>0.67765238319678289</v>
      </c>
      <c r="J17" s="12">
        <f>'Chefe de oficina'!J6</f>
        <v>0.49890000000000001</v>
      </c>
      <c r="K17" s="18">
        <f>J17/$F$2</f>
        <v>0.8601724137931035</v>
      </c>
      <c r="L17" s="12">
        <v>0.2445</v>
      </c>
      <c r="M17" s="19">
        <f>L17/$G$2</f>
        <v>0.81500000000000006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9E9D-6E5D-4947-B389-E9A2BF8EBDFF}">
  <dimension ref="A1:F4"/>
  <sheetViews>
    <sheetView workbookViewId="0">
      <selection activeCell="E10" sqref="E10"/>
    </sheetView>
  </sheetViews>
  <sheetFormatPr defaultRowHeight="15" x14ac:dyDescent="0.25"/>
  <cols>
    <col min="1" max="1" width="12.5703125" customWidth="1"/>
    <col min="2" max="6" width="9.28515625" bestFit="1" customWidth="1"/>
  </cols>
  <sheetData>
    <row r="1" spans="1:6" x14ac:dyDescent="0.25">
      <c r="A1" s="7" t="s">
        <v>21</v>
      </c>
      <c r="B1" s="4" t="s">
        <v>36</v>
      </c>
      <c r="C1" s="4" t="s">
        <v>37</v>
      </c>
      <c r="D1" s="4" t="s">
        <v>38</v>
      </c>
      <c r="E1" s="4" t="s">
        <v>41</v>
      </c>
      <c r="F1" s="6" t="s">
        <v>42</v>
      </c>
    </row>
    <row r="2" spans="1:6" x14ac:dyDescent="0.25">
      <c r="A2" s="7" t="s">
        <v>33</v>
      </c>
      <c r="B2" s="9">
        <v>200</v>
      </c>
      <c r="C2" s="9">
        <v>200</v>
      </c>
      <c r="D2" s="9">
        <v>200</v>
      </c>
      <c r="E2" s="9">
        <v>200</v>
      </c>
      <c r="F2" s="9">
        <v>600</v>
      </c>
    </row>
    <row r="4" spans="1:6" x14ac:dyDescent="0.25">
      <c r="A4" s="29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Consultores</vt:lpstr>
      <vt:lpstr>Chefe de oficina</vt:lpstr>
      <vt:lpstr>Mecânicos</vt:lpstr>
      <vt:lpstr>Gerente</vt:lpstr>
      <vt:lpstr>Apontador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Caioba</dc:creator>
  <cp:lastModifiedBy>Grupo Caioba</cp:lastModifiedBy>
  <dcterms:created xsi:type="dcterms:W3CDTF">2026-07-17T11:42:49Z</dcterms:created>
  <dcterms:modified xsi:type="dcterms:W3CDTF">2026-09-01T19:49:10Z</dcterms:modified>
</cp:coreProperties>
</file>