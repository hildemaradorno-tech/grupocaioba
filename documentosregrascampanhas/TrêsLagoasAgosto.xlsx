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gru\Documents\Pos-Venda\Campanha\Agosto\"/>
    </mc:Choice>
  </mc:AlternateContent>
  <xr:revisionPtr revIDLastSave="0" documentId="13_ncr:1_{177608C2-A0A3-4DD0-98E6-688696EFA068}" xr6:coauthVersionLast="47" xr6:coauthVersionMax="47" xr10:uidLastSave="{00000000-0000-0000-0000-000000000000}"/>
  <bookViews>
    <workbookView xWindow="-120" yWindow="-120" windowWidth="29040" windowHeight="15720" xr2:uid="{F734D757-4ECA-4156-B62E-13869BBD4E7A}"/>
  </bookViews>
  <sheets>
    <sheet name="Consultores" sheetId="1" r:id="rId1"/>
    <sheet name="Chefe de oficina" sheetId="4" r:id="rId2"/>
    <sheet name="Mecânicos" sheetId="2" r:id="rId3"/>
    <sheet name="Gerent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7" i="6" l="1"/>
  <c r="K17" i="6" s="1"/>
  <c r="L17" i="6"/>
  <c r="M17" i="6" s="1"/>
  <c r="L14" i="6"/>
  <c r="J14" i="6"/>
  <c r="K14" i="6" s="1"/>
  <c r="K6" i="4"/>
  <c r="K7" i="4"/>
  <c r="J7" i="4"/>
  <c r="H7" i="4"/>
  <c r="L11" i="6"/>
  <c r="M11" i="6" s="1"/>
  <c r="J11" i="6"/>
  <c r="K11" i="6" s="1"/>
  <c r="L8" i="6"/>
  <c r="M8" i="6" s="1"/>
  <c r="J8" i="6"/>
  <c r="K8" i="6" s="1"/>
  <c r="F7" i="4"/>
  <c r="D7" i="4"/>
  <c r="F8" i="6"/>
  <c r="G8" i="6"/>
  <c r="F11" i="6"/>
  <c r="G11" i="6"/>
  <c r="F14" i="6"/>
  <c r="G14" i="6"/>
  <c r="L5" i="6"/>
  <c r="M5" i="6" s="1"/>
  <c r="J5" i="6"/>
  <c r="K5" i="6" s="1"/>
  <c r="D17" i="6"/>
  <c r="C17" i="6"/>
  <c r="D14" i="6"/>
  <c r="C14" i="6"/>
  <c r="E14" i="6" s="1"/>
  <c r="D11" i="6"/>
  <c r="C11" i="6"/>
  <c r="E11" i="6" s="1"/>
  <c r="D8" i="6"/>
  <c r="C8" i="6"/>
  <c r="E8" i="6" s="1"/>
  <c r="D5" i="6"/>
  <c r="C5" i="6"/>
  <c r="F5" i="6"/>
  <c r="G5" i="6"/>
  <c r="H5" i="6" s="1"/>
  <c r="M14" i="6"/>
  <c r="B7" i="4"/>
  <c r="G2" i="4"/>
  <c r="F2" i="4"/>
  <c r="E2" i="4"/>
  <c r="D2" i="4"/>
  <c r="G17" i="1"/>
  <c r="F17" i="1"/>
  <c r="D17" i="1"/>
  <c r="C17" i="1"/>
  <c r="D14" i="1"/>
  <c r="C14" i="1"/>
  <c r="D11" i="1"/>
  <c r="C11" i="1"/>
  <c r="D8" i="1"/>
  <c r="C8" i="1"/>
  <c r="D5" i="1"/>
  <c r="C5" i="1"/>
  <c r="E17" i="1" s="1"/>
  <c r="K17" i="1"/>
  <c r="M17" i="1"/>
  <c r="M14" i="1"/>
  <c r="H14" i="1"/>
  <c r="M11" i="1"/>
  <c r="E2" i="6"/>
  <c r="K14" i="1"/>
  <c r="K11" i="1"/>
  <c r="K8" i="1"/>
  <c r="H11" i="1"/>
  <c r="M8" i="1"/>
  <c r="M5" i="1"/>
  <c r="H8" i="1"/>
  <c r="K5" i="1"/>
  <c r="H5" i="1"/>
  <c r="H14" i="6" l="1"/>
  <c r="I14" i="6" s="1"/>
  <c r="H11" i="6"/>
  <c r="I11" i="6" s="1"/>
  <c r="F17" i="6"/>
  <c r="H8" i="6"/>
  <c r="G17" i="6"/>
  <c r="E5" i="6"/>
  <c r="I5" i="6" s="1"/>
  <c r="I8" i="6"/>
  <c r="E7" i="4"/>
  <c r="G7" i="4"/>
  <c r="I7" i="4"/>
  <c r="C7" i="4"/>
  <c r="H17" i="1"/>
  <c r="I17" i="1" s="1"/>
  <c r="E5" i="1"/>
  <c r="I5" i="1" s="1"/>
  <c r="E2" i="1"/>
  <c r="H17" i="6" l="1"/>
  <c r="E17" i="6"/>
  <c r="E8" i="1"/>
  <c r="I8" i="1" s="1"/>
  <c r="I17" i="6" l="1"/>
  <c r="E11" i="1"/>
  <c r="I11" i="1" s="1"/>
  <c r="E14" i="1"/>
  <c r="I14" i="1" s="1"/>
</calcChain>
</file>

<file path=xl/sharedStrings.xml><?xml version="1.0" encoding="utf-8"?>
<sst xmlns="http://schemas.openxmlformats.org/spreadsheetml/2006/main" count="206" uniqueCount="34">
  <si>
    <t>Partipantes</t>
  </si>
  <si>
    <t>Serviços Total</t>
  </si>
  <si>
    <t>Peças Total</t>
  </si>
  <si>
    <t xml:space="preserve">Semana </t>
  </si>
  <si>
    <t>Meta_Serviços</t>
  </si>
  <si>
    <t>Mês</t>
  </si>
  <si>
    <t>Meta_Peças</t>
  </si>
  <si>
    <t>Ticket_Medio</t>
  </si>
  <si>
    <t>Realizado_Serviços</t>
  </si>
  <si>
    <t>Realizado_Peças</t>
  </si>
  <si>
    <t>% Faturamento</t>
  </si>
  <si>
    <t>% Ticket</t>
  </si>
  <si>
    <t>MB Peças</t>
  </si>
  <si>
    <t>%MB Peças</t>
  </si>
  <si>
    <t>Total</t>
  </si>
  <si>
    <t>Participantes</t>
  </si>
  <si>
    <t>Produtividade</t>
  </si>
  <si>
    <t>Meta_Produtividade</t>
  </si>
  <si>
    <t>&lt;120%</t>
  </si>
  <si>
    <t>Meta_Eficiência</t>
  </si>
  <si>
    <t>Eficiência</t>
  </si>
  <si>
    <t>Participante</t>
  </si>
  <si>
    <t>Faturamento</t>
  </si>
  <si>
    <t>Willian Plaza</t>
  </si>
  <si>
    <t>Geovam Augusto da Silva</t>
  </si>
  <si>
    <t>Willian de Souza Plaza</t>
  </si>
  <si>
    <t>% Produtividade</t>
  </si>
  <si>
    <t>Elias Vaz Aguero</t>
  </si>
  <si>
    <t>01 à 08/08</t>
  </si>
  <si>
    <t>10 à 15/08</t>
  </si>
  <si>
    <t>17 à 22/08</t>
  </si>
  <si>
    <t>24 à 31/08</t>
  </si>
  <si>
    <t>% da meta</t>
  </si>
  <si>
    <t>Consultor Três Lagoas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</si>
</sst>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9" fontId="0" fillId="0" borderId="0" xfId="0" applyNumberFormat="1"/>
    <xf numFmtId="10" fontId="0" fillId="0" borderId="1" xfId="1" applyNumberFormat="1" applyFont="1" applyBorder="1"/>
    <xf numFmtId="10" fontId="0" fillId="0" borderId="1" xfId="0" applyNumberFormat="1" applyBorder="1"/>
    <xf numFmtId="0" fontId="2" fillId="0" borderId="1" xfId="0" applyFont="1" applyBorder="1" applyAlignment="1">
      <alignment horizontal="center"/>
    </xf>
    <xf numFmtId="10" fontId="0" fillId="0" borderId="1" xfId="1" applyNumberFormat="1" applyFont="1" applyBorder="1" applyAlignment="1"/>
    <xf numFmtId="9" fontId="2" fillId="0" borderId="0" xfId="0" applyNumberFormat="1" applyFont="1"/>
    <xf numFmtId="10" fontId="1" fillId="0" borderId="1" xfId="1" applyNumberFormat="1" applyFont="1" applyBorder="1"/>
    <xf numFmtId="10" fontId="2" fillId="0" borderId="1" xfId="1" applyNumberFormat="1" applyFont="1" applyBorder="1"/>
    <xf numFmtId="10" fontId="2" fillId="0" borderId="1" xfId="0" applyNumberFormat="1" applyFont="1" applyBorder="1"/>
    <xf numFmtId="0" fontId="0" fillId="0" borderId="2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0" fillId="0" borderId="5" xfId="1" applyNumberFormat="1" applyFont="1" applyBorder="1"/>
    <xf numFmtId="10" fontId="0" fillId="0" borderId="6" xfId="1" applyNumberFormat="1" applyFont="1" applyBorder="1"/>
    <xf numFmtId="9" fontId="2" fillId="0" borderId="1" xfId="1" applyFont="1" applyBorder="1"/>
    <xf numFmtId="9" fontId="2" fillId="0" borderId="1" xfId="0" applyNumberFormat="1" applyFont="1" applyBorder="1"/>
    <xf numFmtId="17" fontId="0" fillId="0" borderId="1" xfId="0" applyNumberFormat="1" applyBorder="1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02EC-A5E3-456D-B7ED-5FDCBF32F128}">
  <dimension ref="A1:M17"/>
  <sheetViews>
    <sheetView tabSelected="1" workbookViewId="0">
      <selection activeCell="G30" sqref="G30"/>
    </sheetView>
  </sheetViews>
  <sheetFormatPr defaultRowHeight="15" x14ac:dyDescent="0.25"/>
  <cols>
    <col min="1" max="1" width="31.28515625" customWidth="1"/>
    <col min="2" max="2" width="12.140625" style="2" customWidth="1"/>
    <col min="3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4" t="s">
        <v>0</v>
      </c>
      <c r="B1" s="5" t="s">
        <v>5</v>
      </c>
      <c r="C1" s="6" t="s">
        <v>1</v>
      </c>
      <c r="D1" s="6" t="s">
        <v>2</v>
      </c>
      <c r="E1" s="6" t="s">
        <v>14</v>
      </c>
      <c r="F1" s="4" t="s">
        <v>7</v>
      </c>
      <c r="G1" s="4" t="s">
        <v>12</v>
      </c>
      <c r="J1" s="1"/>
      <c r="L1" s="1"/>
    </row>
    <row r="2" spans="1:13" x14ac:dyDescent="0.25">
      <c r="A2" s="7" t="s">
        <v>33</v>
      </c>
      <c r="B2" s="8">
        <v>46235</v>
      </c>
      <c r="C2" s="9">
        <v>92916</v>
      </c>
      <c r="D2" s="9">
        <v>371664</v>
      </c>
      <c r="E2" s="6">
        <f>SUM(C2:D2)</f>
        <v>464580</v>
      </c>
      <c r="F2" s="9">
        <v>4500</v>
      </c>
      <c r="G2" s="10">
        <v>0.3</v>
      </c>
      <c r="H2" s="16"/>
      <c r="I2" s="16"/>
    </row>
    <row r="4" spans="1:13" x14ac:dyDescent="0.25">
      <c r="A4" s="4" t="s">
        <v>0</v>
      </c>
      <c r="B4" s="4" t="s">
        <v>3</v>
      </c>
      <c r="C4" s="6" t="s">
        <v>4</v>
      </c>
      <c r="D4" s="4" t="s">
        <v>6</v>
      </c>
      <c r="E4" s="4" t="s">
        <v>14</v>
      </c>
      <c r="F4" s="6" t="s">
        <v>8</v>
      </c>
      <c r="G4" s="6" t="s">
        <v>9</v>
      </c>
      <c r="H4" s="6" t="s">
        <v>14</v>
      </c>
      <c r="I4" s="4" t="s">
        <v>10</v>
      </c>
      <c r="J4" s="4" t="s">
        <v>7</v>
      </c>
      <c r="K4" s="4" t="s">
        <v>11</v>
      </c>
      <c r="L4" s="4" t="s">
        <v>12</v>
      </c>
      <c r="M4" s="4" t="s">
        <v>13</v>
      </c>
    </row>
    <row r="5" spans="1:13" x14ac:dyDescent="0.25">
      <c r="A5" s="7" t="s">
        <v>33</v>
      </c>
      <c r="B5" s="7" t="s">
        <v>28</v>
      </c>
      <c r="C5" s="9">
        <f>$C$2/22.5*6</f>
        <v>24777.600000000002</v>
      </c>
      <c r="D5" s="9">
        <f>$D$2/22.5*6</f>
        <v>99110.400000000009</v>
      </c>
      <c r="E5" s="6">
        <f t="shared" ref="E5" si="0">SUM(C5:D5)</f>
        <v>123888.00000000001</v>
      </c>
      <c r="F5" s="9">
        <v>6331.4</v>
      </c>
      <c r="G5" s="9">
        <v>45652.68</v>
      </c>
      <c r="H5" s="6">
        <f>SUM(F5:G5)</f>
        <v>51984.08</v>
      </c>
      <c r="I5" s="18">
        <f>H5/E5</f>
        <v>0.41960545008394673</v>
      </c>
      <c r="J5" s="9">
        <v>4052.62</v>
      </c>
      <c r="K5" s="18">
        <f>J5/$F$2</f>
        <v>0.90058222222222217</v>
      </c>
      <c r="L5" s="13">
        <v>0.37959999999999999</v>
      </c>
      <c r="M5" s="19">
        <f>L5/$G$2</f>
        <v>1.2653333333333334</v>
      </c>
    </row>
    <row r="6" spans="1:13" x14ac:dyDescent="0.25">
      <c r="F6" s="2"/>
      <c r="G6" s="2"/>
      <c r="H6" s="3"/>
      <c r="J6" s="2"/>
    </row>
    <row r="7" spans="1:13" x14ac:dyDescent="0.25">
      <c r="A7" s="4" t="s">
        <v>0</v>
      </c>
      <c r="B7" s="4" t="s">
        <v>3</v>
      </c>
      <c r="C7" s="6" t="s">
        <v>4</v>
      </c>
      <c r="D7" s="4" t="s">
        <v>6</v>
      </c>
      <c r="E7" s="4" t="s">
        <v>14</v>
      </c>
      <c r="F7" s="6" t="s">
        <v>8</v>
      </c>
      <c r="G7" s="6" t="s">
        <v>9</v>
      </c>
      <c r="H7" s="6" t="s">
        <v>14</v>
      </c>
      <c r="I7" s="4" t="s">
        <v>10</v>
      </c>
      <c r="J7" s="6" t="s">
        <v>7</v>
      </c>
      <c r="K7" s="4" t="s">
        <v>11</v>
      </c>
      <c r="L7" s="4" t="s">
        <v>12</v>
      </c>
      <c r="M7" s="4" t="s">
        <v>13</v>
      </c>
    </row>
    <row r="8" spans="1:13" x14ac:dyDescent="0.25">
      <c r="A8" s="7" t="s">
        <v>33</v>
      </c>
      <c r="B8" s="7" t="s">
        <v>29</v>
      </c>
      <c r="C8" s="9">
        <f>$C$2/22.5*5.5</f>
        <v>22712.800000000003</v>
      </c>
      <c r="D8" s="9">
        <f>$D$2/22.5*5.5</f>
        <v>90851.200000000012</v>
      </c>
      <c r="E8" s="6">
        <f t="shared" ref="E8" si="1">SUM(C8:D8)</f>
        <v>113564.00000000001</v>
      </c>
      <c r="F8" s="9">
        <v>19055.669999999998</v>
      </c>
      <c r="G8" s="9">
        <v>84264.56</v>
      </c>
      <c r="H8" s="6">
        <f t="shared" ref="H8" si="2">SUM(F8:G8)</f>
        <v>103320.23</v>
      </c>
      <c r="I8" s="18">
        <f t="shared" ref="I8" si="3">H8/E8</f>
        <v>0.90979738297347734</v>
      </c>
      <c r="J8" s="9">
        <v>5740.01</v>
      </c>
      <c r="K8" s="18">
        <f>J8/$F$2</f>
        <v>1.2755577777777778</v>
      </c>
      <c r="L8" s="12">
        <v>0.2883</v>
      </c>
      <c r="M8" s="19">
        <f>L8/$G$2</f>
        <v>0.96100000000000008</v>
      </c>
    </row>
    <row r="9" spans="1:13" x14ac:dyDescent="0.25">
      <c r="E9" s="4" t="s">
        <v>14</v>
      </c>
      <c r="F9" s="2"/>
      <c r="G9" s="2"/>
      <c r="H9" s="3"/>
      <c r="J9" s="2"/>
    </row>
    <row r="10" spans="1:13" x14ac:dyDescent="0.25">
      <c r="A10" s="4" t="s">
        <v>0</v>
      </c>
      <c r="B10" s="4" t="s">
        <v>3</v>
      </c>
      <c r="C10" s="6" t="s">
        <v>4</v>
      </c>
      <c r="D10" s="4" t="s">
        <v>6</v>
      </c>
      <c r="E10" s="4"/>
      <c r="F10" s="6" t="s">
        <v>8</v>
      </c>
      <c r="G10" s="6" t="s">
        <v>9</v>
      </c>
      <c r="H10" s="6" t="s">
        <v>14</v>
      </c>
      <c r="I10" s="4" t="s">
        <v>10</v>
      </c>
      <c r="J10" s="6" t="s">
        <v>7</v>
      </c>
      <c r="K10" s="4" t="s">
        <v>11</v>
      </c>
      <c r="L10" s="4" t="s">
        <v>12</v>
      </c>
      <c r="M10" s="4" t="s">
        <v>13</v>
      </c>
    </row>
    <row r="11" spans="1:13" x14ac:dyDescent="0.25">
      <c r="A11" s="7" t="s">
        <v>33</v>
      </c>
      <c r="B11" s="7" t="s">
        <v>30</v>
      </c>
      <c r="C11" s="9">
        <f>$C$2/22.5*5.5</f>
        <v>22712.800000000003</v>
      </c>
      <c r="D11" s="9">
        <f>$D$2/22.5*5.5</f>
        <v>90851.200000000012</v>
      </c>
      <c r="E11" s="6">
        <f t="shared" ref="E11" si="4">SUM(C11:D11)</f>
        <v>113564.00000000001</v>
      </c>
      <c r="F11" s="9">
        <v>20084.8</v>
      </c>
      <c r="G11" s="9">
        <v>147713.57999999999</v>
      </c>
      <c r="H11" s="6">
        <f t="shared" ref="H11" si="5">SUM(F11:G11)</f>
        <v>167798.37999999998</v>
      </c>
      <c r="I11" s="18">
        <f t="shared" ref="I11" si="6">H11/E11</f>
        <v>1.4775666584480993</v>
      </c>
      <c r="J11" s="9">
        <v>7644.54</v>
      </c>
      <c r="K11" s="18">
        <f>J11/$F$2</f>
        <v>1.6987866666666667</v>
      </c>
      <c r="L11" s="12">
        <v>0.25600000000000001</v>
      </c>
      <c r="M11" s="19">
        <f>L11/$G$2</f>
        <v>0.85333333333333339</v>
      </c>
    </row>
    <row r="12" spans="1:13" x14ac:dyDescent="0.25">
      <c r="F12" s="2"/>
      <c r="G12" s="2"/>
      <c r="H12" s="3"/>
      <c r="J12" s="2"/>
    </row>
    <row r="13" spans="1:13" x14ac:dyDescent="0.25">
      <c r="A13" s="4" t="s">
        <v>0</v>
      </c>
      <c r="B13" s="4" t="s">
        <v>3</v>
      </c>
      <c r="C13" s="6" t="s">
        <v>4</v>
      </c>
      <c r="D13" s="4" t="s">
        <v>6</v>
      </c>
      <c r="E13" s="4" t="s">
        <v>14</v>
      </c>
      <c r="F13" s="6" t="s">
        <v>8</v>
      </c>
      <c r="G13" s="6" t="s">
        <v>9</v>
      </c>
      <c r="H13" s="6" t="s">
        <v>14</v>
      </c>
      <c r="I13" s="4" t="s">
        <v>10</v>
      </c>
      <c r="J13" s="6" t="s">
        <v>7</v>
      </c>
      <c r="K13" s="4" t="s">
        <v>11</v>
      </c>
      <c r="L13" s="4" t="s">
        <v>12</v>
      </c>
      <c r="M13" s="4" t="s">
        <v>13</v>
      </c>
    </row>
    <row r="14" spans="1:13" x14ac:dyDescent="0.25">
      <c r="A14" s="7" t="s">
        <v>33</v>
      </c>
      <c r="B14" s="7" t="s">
        <v>31</v>
      </c>
      <c r="C14" s="9">
        <f>$C$2/22.5*5.5</f>
        <v>22712.800000000003</v>
      </c>
      <c r="D14" s="9">
        <f>$D$2/22.5*5.5</f>
        <v>90851.200000000012</v>
      </c>
      <c r="E14" s="6">
        <f t="shared" ref="E14" si="7">SUM(C14:D14)</f>
        <v>113564.00000000001</v>
      </c>
      <c r="F14" s="9">
        <v>33637.370000000003</v>
      </c>
      <c r="G14" s="9">
        <v>118610.56</v>
      </c>
      <c r="H14" s="6">
        <f t="shared" ref="H14" si="8">SUM(F14:G14)</f>
        <v>152247.93</v>
      </c>
      <c r="I14" s="18">
        <f t="shared" ref="I14" si="9">H14/E14</f>
        <v>1.3406355006868371</v>
      </c>
      <c r="J14" s="9">
        <v>3624.95</v>
      </c>
      <c r="K14" s="18">
        <f>J14/$F$2</f>
        <v>0.8055444444444444</v>
      </c>
      <c r="L14" s="12">
        <v>0.22370000000000001</v>
      </c>
      <c r="M14" s="19">
        <f>L14/$G$2</f>
        <v>0.7456666666666667</v>
      </c>
    </row>
    <row r="16" spans="1:13" x14ac:dyDescent="0.25">
      <c r="A16" s="4" t="s">
        <v>0</v>
      </c>
      <c r="B16" s="4" t="s">
        <v>5</v>
      </c>
      <c r="C16" s="6" t="s">
        <v>4</v>
      </c>
      <c r="D16" s="4" t="s">
        <v>6</v>
      </c>
      <c r="E16" s="4" t="s">
        <v>14</v>
      </c>
      <c r="F16" s="6" t="s">
        <v>8</v>
      </c>
      <c r="G16" s="6" t="s">
        <v>9</v>
      </c>
      <c r="H16" s="6" t="s">
        <v>14</v>
      </c>
      <c r="I16" s="4" t="s">
        <v>10</v>
      </c>
      <c r="J16" s="6" t="s">
        <v>7</v>
      </c>
      <c r="K16" s="4" t="s">
        <v>11</v>
      </c>
      <c r="L16" s="4" t="s">
        <v>12</v>
      </c>
      <c r="M16" s="4" t="s">
        <v>13</v>
      </c>
    </row>
    <row r="17" spans="1:13" x14ac:dyDescent="0.25">
      <c r="A17" s="7" t="s">
        <v>33</v>
      </c>
      <c r="B17" s="27">
        <v>46235</v>
      </c>
      <c r="C17" s="9">
        <f>+C5+C8+C11+C14</f>
        <v>92916.000000000015</v>
      </c>
      <c r="D17" s="9">
        <f>+D5+D8+D11+D14</f>
        <v>371664.00000000006</v>
      </c>
      <c r="E17" s="9">
        <f t="shared" ref="E17" si="10">SUM(C17:D17)</f>
        <v>464580.00000000006</v>
      </c>
      <c r="F17" s="9">
        <f>+F5+F8+F11+F14</f>
        <v>79109.239999999991</v>
      </c>
      <c r="G17" s="9">
        <f>+G5+G8+G11+G14</f>
        <v>396241.37999999995</v>
      </c>
      <c r="H17" s="6">
        <f>+H5+H8+H11+H14</f>
        <v>475350.61999999994</v>
      </c>
      <c r="I17" s="12">
        <f t="shared" ref="I17" si="11">H17/E17</f>
        <v>1.0231835636488869</v>
      </c>
      <c r="J17" s="9">
        <v>5446.63</v>
      </c>
      <c r="K17" s="18">
        <f>J17/$F$2</f>
        <v>1.2103622222222223</v>
      </c>
      <c r="L17" s="12">
        <v>0.26629999999999998</v>
      </c>
      <c r="M17" s="19">
        <f>L17/$G$2</f>
        <v>0.8876666666666666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4AF7-D37B-49FE-97D5-EC4C363F6486}">
  <dimension ref="A1:K7"/>
  <sheetViews>
    <sheetView workbookViewId="0">
      <selection activeCell="I12" sqref="I12"/>
    </sheetView>
  </sheetViews>
  <sheetFormatPr defaultRowHeight="15" x14ac:dyDescent="0.25"/>
  <cols>
    <col min="1" max="1" width="20.28515625" bestFit="1" customWidth="1"/>
    <col min="2" max="2" width="13.28515625" customWidth="1"/>
    <col min="3" max="3" width="12.28515625" style="2" customWidth="1"/>
    <col min="4" max="4" width="11.140625" customWidth="1"/>
    <col min="5" max="5" width="11.28515625" customWidth="1"/>
    <col min="6" max="6" width="10.7109375" customWidth="1"/>
    <col min="7" max="7" width="9.85546875" customWidth="1"/>
    <col min="8" max="8" width="11.5703125" customWidth="1"/>
    <col min="9" max="9" width="9.28515625" customWidth="1"/>
    <col min="10" max="10" width="11.5703125" customWidth="1"/>
    <col min="11" max="12" width="11" customWidth="1"/>
  </cols>
  <sheetData>
    <row r="1" spans="1:11" x14ac:dyDescent="0.25">
      <c r="A1" s="4" t="s">
        <v>21</v>
      </c>
      <c r="B1" s="4" t="s">
        <v>16</v>
      </c>
      <c r="C1" s="6" t="s">
        <v>22</v>
      </c>
      <c r="D1" s="4" t="s">
        <v>28</v>
      </c>
      <c r="E1" s="4" t="s">
        <v>29</v>
      </c>
      <c r="F1" s="4" t="s">
        <v>30</v>
      </c>
      <c r="G1" s="4" t="s">
        <v>31</v>
      </c>
      <c r="H1" s="4"/>
    </row>
    <row r="2" spans="1:11" x14ac:dyDescent="0.25">
      <c r="A2" s="7" t="s">
        <v>23</v>
      </c>
      <c r="B2" s="10">
        <v>0.55000000000000004</v>
      </c>
      <c r="C2" s="9">
        <v>92916</v>
      </c>
      <c r="D2" s="9">
        <f>$C$2/22.5*6</f>
        <v>24777.600000000002</v>
      </c>
      <c r="E2" s="9">
        <f>$C$2/22.5*5.5</f>
        <v>22712.800000000003</v>
      </c>
      <c r="F2" s="9">
        <f>$C$2/22.5*5.5</f>
        <v>22712.800000000003</v>
      </c>
      <c r="G2" s="9">
        <f>$C$2/22.5*5.5</f>
        <v>22712.800000000003</v>
      </c>
      <c r="H2" s="9"/>
    </row>
    <row r="3" spans="1:11" x14ac:dyDescent="0.25">
      <c r="B3" s="11"/>
      <c r="D3" s="2"/>
      <c r="E3" s="2"/>
      <c r="F3" s="2"/>
      <c r="G3" s="2"/>
      <c r="H3" s="2"/>
    </row>
    <row r="4" spans="1:11" x14ac:dyDescent="0.25">
      <c r="B4" s="11"/>
    </row>
    <row r="5" spans="1:11" x14ac:dyDescent="0.25">
      <c r="A5" s="4"/>
      <c r="B5" s="4" t="s">
        <v>28</v>
      </c>
      <c r="C5" s="14" t="s">
        <v>32</v>
      </c>
      <c r="D5" s="4" t="s">
        <v>29</v>
      </c>
      <c r="E5" s="14" t="s">
        <v>32</v>
      </c>
      <c r="F5" s="4" t="s">
        <v>30</v>
      </c>
      <c r="G5" s="14" t="s">
        <v>32</v>
      </c>
      <c r="H5" s="4" t="s">
        <v>31</v>
      </c>
      <c r="I5" s="14" t="s">
        <v>32</v>
      </c>
      <c r="J5" s="4" t="s">
        <v>14</v>
      </c>
      <c r="K5" s="14" t="s">
        <v>32</v>
      </c>
    </row>
    <row r="6" spans="1:11" x14ac:dyDescent="0.25">
      <c r="A6" s="4" t="s">
        <v>16</v>
      </c>
      <c r="B6" s="17">
        <v>8.72E-2</v>
      </c>
      <c r="C6" s="15"/>
      <c r="D6" s="12">
        <v>0.42699999999999999</v>
      </c>
      <c r="E6" s="15"/>
      <c r="F6" s="13">
        <v>0.6573</v>
      </c>
      <c r="G6" s="15"/>
      <c r="H6" s="13">
        <v>0.67630000000000001</v>
      </c>
      <c r="I6" s="15"/>
      <c r="J6" s="13">
        <v>0.4471</v>
      </c>
      <c r="K6" s="12">
        <f>J6/B2</f>
        <v>0.8129090909090908</v>
      </c>
    </row>
    <row r="7" spans="1:11" x14ac:dyDescent="0.25">
      <c r="A7" s="4" t="s">
        <v>22</v>
      </c>
      <c r="B7" s="9">
        <f>Consultores!F5</f>
        <v>6331.4</v>
      </c>
      <c r="C7" s="15">
        <f>B7/D2</f>
        <v>0.2555291876533643</v>
      </c>
      <c r="D7" s="9">
        <f>Consultores!F8</f>
        <v>19055.669999999998</v>
      </c>
      <c r="E7" s="15">
        <f>D7/E2</f>
        <v>0.83898374484871951</v>
      </c>
      <c r="F7" s="9">
        <f>Consultores!F11</f>
        <v>20084.8</v>
      </c>
      <c r="G7" s="12">
        <f>F7/F2</f>
        <v>0.8842943186220984</v>
      </c>
      <c r="H7" s="9">
        <f>Consultores!F14</f>
        <v>33637.370000000003</v>
      </c>
      <c r="I7" s="12">
        <f>H7/G2</f>
        <v>1.4809873727589729</v>
      </c>
      <c r="J7" s="9">
        <f>B7+D7+F7+H7</f>
        <v>79109.239999999991</v>
      </c>
      <c r="K7" s="12">
        <f>J7/C2</f>
        <v>0.85140600111929043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80AB-76F4-4A7D-8755-CC9D2B9A40F5}">
  <dimension ref="A1:M4"/>
  <sheetViews>
    <sheetView workbookViewId="0">
      <selection activeCell="D37" sqref="D37"/>
    </sheetView>
  </sheetViews>
  <sheetFormatPr defaultColWidth="10.42578125" defaultRowHeight="15" x14ac:dyDescent="0.25"/>
  <cols>
    <col min="1" max="1" width="30.28515625" bestFit="1" customWidth="1"/>
    <col min="2" max="2" width="17.85546875" bestFit="1" customWidth="1"/>
    <col min="3" max="3" width="14.28515625" customWidth="1"/>
    <col min="4" max="4" width="12.7109375" bestFit="1" customWidth="1"/>
    <col min="6" max="6" width="12.7109375" customWidth="1"/>
    <col min="8" max="8" width="12" customWidth="1"/>
    <col min="10" max="10" width="12.7109375" bestFit="1" customWidth="1"/>
    <col min="12" max="12" width="12.7109375" bestFit="1" customWidth="1"/>
  </cols>
  <sheetData>
    <row r="1" spans="1:13" x14ac:dyDescent="0.25">
      <c r="A1" s="33" t="s">
        <v>15</v>
      </c>
      <c r="B1" s="33" t="s">
        <v>17</v>
      </c>
      <c r="C1" s="28" t="s">
        <v>19</v>
      </c>
      <c r="D1" s="28" t="s">
        <v>28</v>
      </c>
      <c r="E1" s="29"/>
      <c r="F1" s="28" t="s">
        <v>29</v>
      </c>
      <c r="G1" s="29"/>
      <c r="H1" s="28" t="s">
        <v>30</v>
      </c>
      <c r="I1" s="29"/>
      <c r="J1" s="28" t="s">
        <v>31</v>
      </c>
      <c r="K1" s="30"/>
      <c r="L1" s="31" t="s">
        <v>14</v>
      </c>
      <c r="M1" s="32"/>
    </row>
    <row r="2" spans="1:13" x14ac:dyDescent="0.25">
      <c r="A2" s="33"/>
      <c r="B2" s="33"/>
      <c r="C2" s="28"/>
      <c r="D2" s="21" t="s">
        <v>16</v>
      </c>
      <c r="E2" s="22" t="s">
        <v>20</v>
      </c>
      <c r="F2" s="21" t="s">
        <v>16</v>
      </c>
      <c r="G2" s="22" t="s">
        <v>20</v>
      </c>
      <c r="H2" s="21" t="s">
        <v>16</v>
      </c>
      <c r="I2" s="22" t="s">
        <v>20</v>
      </c>
      <c r="J2" s="21" t="s">
        <v>16</v>
      </c>
      <c r="K2" s="22" t="s">
        <v>20</v>
      </c>
      <c r="L2" s="21" t="s">
        <v>16</v>
      </c>
      <c r="M2" s="22" t="s">
        <v>20</v>
      </c>
    </row>
    <row r="3" spans="1:13" x14ac:dyDescent="0.25">
      <c r="A3" s="7" t="s">
        <v>24</v>
      </c>
      <c r="B3" s="10">
        <v>0.55000000000000004</v>
      </c>
      <c r="C3" s="20" t="s">
        <v>18</v>
      </c>
      <c r="D3" s="23">
        <v>0.1477</v>
      </c>
      <c r="E3" s="24">
        <v>1.0769</v>
      </c>
      <c r="F3" s="23">
        <v>0.7591</v>
      </c>
      <c r="G3" s="24">
        <v>0.98440000000000005</v>
      </c>
      <c r="H3" s="23">
        <v>0.69430000000000003</v>
      </c>
      <c r="I3" s="24">
        <v>2.0232000000000001</v>
      </c>
      <c r="J3" s="23">
        <v>1.1397999999999999</v>
      </c>
      <c r="K3" s="23">
        <v>0.95240000000000002</v>
      </c>
      <c r="L3" s="23">
        <v>0.70109999999999995</v>
      </c>
      <c r="M3" s="24">
        <v>1.1149</v>
      </c>
    </row>
    <row r="4" spans="1:13" x14ac:dyDescent="0.25">
      <c r="A4" s="7" t="s">
        <v>25</v>
      </c>
      <c r="B4" s="10">
        <v>0.55000000000000004</v>
      </c>
      <c r="C4" s="20" t="s">
        <v>18</v>
      </c>
      <c r="D4" s="23">
        <v>2.6599999999999999E-2</v>
      </c>
      <c r="E4" s="24">
        <v>0.85470000000000002</v>
      </c>
      <c r="F4" s="23">
        <v>7.4099999999999999E-2</v>
      </c>
      <c r="G4" s="24">
        <v>2.0859000000000001</v>
      </c>
      <c r="H4" s="23">
        <v>0.3427</v>
      </c>
      <c r="I4" s="24">
        <v>1.3976</v>
      </c>
      <c r="J4" s="23">
        <v>0.1837</v>
      </c>
      <c r="K4" s="24">
        <v>0.66180000000000005</v>
      </c>
      <c r="L4" s="23">
        <v>0.17630000000000001</v>
      </c>
      <c r="M4" s="24">
        <v>1.0938000000000001</v>
      </c>
    </row>
  </sheetData>
  <mergeCells count="8">
    <mergeCell ref="F1:G1"/>
    <mergeCell ref="H1:I1"/>
    <mergeCell ref="J1:K1"/>
    <mergeCell ref="L1:M1"/>
    <mergeCell ref="A1:A2"/>
    <mergeCell ref="B1:B2"/>
    <mergeCell ref="C1:C2"/>
    <mergeCell ref="D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AEF7-1D35-4B0C-82BB-A17CAF32E21F}">
  <dimension ref="A1:M17"/>
  <sheetViews>
    <sheetView zoomScaleNormal="100" workbookViewId="0">
      <selection activeCell="C9" sqref="C9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4" t="s">
        <v>0</v>
      </c>
      <c r="B1" s="5" t="s">
        <v>5</v>
      </c>
      <c r="C1" s="6" t="s">
        <v>1</v>
      </c>
      <c r="D1" s="6" t="s">
        <v>2</v>
      </c>
      <c r="E1" s="6" t="s">
        <v>14</v>
      </c>
      <c r="F1" s="4" t="s">
        <v>16</v>
      </c>
      <c r="G1" s="4" t="s">
        <v>12</v>
      </c>
      <c r="J1" s="1"/>
      <c r="L1" s="1"/>
    </row>
    <row r="2" spans="1:13" x14ac:dyDescent="0.25">
      <c r="A2" s="7" t="s">
        <v>27</v>
      </c>
      <c r="B2" s="8">
        <v>46235</v>
      </c>
      <c r="C2" s="9">
        <v>92916</v>
      </c>
      <c r="D2" s="9">
        <v>371664</v>
      </c>
      <c r="E2" s="6">
        <f>SUM(C2:D2)</f>
        <v>464580</v>
      </c>
      <c r="F2" s="25">
        <v>0.55000000000000004</v>
      </c>
      <c r="G2" s="26">
        <v>0.3</v>
      </c>
      <c r="H2" s="16"/>
      <c r="I2" s="16"/>
    </row>
    <row r="4" spans="1:13" x14ac:dyDescent="0.25">
      <c r="A4" s="4" t="s">
        <v>0</v>
      </c>
      <c r="B4" s="4" t="s">
        <v>3</v>
      </c>
      <c r="C4" s="6" t="s">
        <v>4</v>
      </c>
      <c r="D4" s="4" t="s">
        <v>6</v>
      </c>
      <c r="E4" s="4" t="s">
        <v>14</v>
      </c>
      <c r="F4" s="6" t="s">
        <v>8</v>
      </c>
      <c r="G4" s="6" t="s">
        <v>9</v>
      </c>
      <c r="H4" s="6" t="s">
        <v>14</v>
      </c>
      <c r="I4" s="4" t="s">
        <v>10</v>
      </c>
      <c r="J4" s="4" t="s">
        <v>16</v>
      </c>
      <c r="K4" s="4" t="s">
        <v>26</v>
      </c>
      <c r="L4" s="4" t="s">
        <v>12</v>
      </c>
      <c r="M4" s="4" t="s">
        <v>13</v>
      </c>
    </row>
    <row r="5" spans="1:13" x14ac:dyDescent="0.25">
      <c r="A5" s="7" t="s">
        <v>27</v>
      </c>
      <c r="B5" s="7" t="s">
        <v>28</v>
      </c>
      <c r="C5" s="9">
        <f>$C$2/22.5*6</f>
        <v>24777.600000000002</v>
      </c>
      <c r="D5" s="9">
        <f>$D$2/22.5*6</f>
        <v>99110.400000000009</v>
      </c>
      <c r="E5" s="6">
        <f t="shared" ref="E5" si="0">SUM(C5:D5)</f>
        <v>123888.00000000001</v>
      </c>
      <c r="F5" s="9">
        <f>Consultores!F5</f>
        <v>6331.4</v>
      </c>
      <c r="G5" s="9">
        <f>Consultores!G5</f>
        <v>45652.68</v>
      </c>
      <c r="H5" s="6">
        <f>SUM(F5:G5)</f>
        <v>51984.08</v>
      </c>
      <c r="I5" s="18">
        <f>H5/E5</f>
        <v>0.41960545008394673</v>
      </c>
      <c r="J5" s="12">
        <f>'Chefe de oficina'!B6</f>
        <v>8.72E-2</v>
      </c>
      <c r="K5" s="18">
        <f>J5/$F$2</f>
        <v>0.15854545454545454</v>
      </c>
      <c r="L5" s="13">
        <f>Consultores!L5</f>
        <v>0.37959999999999999</v>
      </c>
      <c r="M5" s="19">
        <f>L5/$G$2</f>
        <v>1.2653333333333334</v>
      </c>
    </row>
    <row r="6" spans="1:13" x14ac:dyDescent="0.25">
      <c r="F6" s="2"/>
      <c r="G6" s="2"/>
      <c r="H6" s="3"/>
      <c r="J6" s="2"/>
    </row>
    <row r="7" spans="1:13" x14ac:dyDescent="0.25">
      <c r="A7" s="4" t="s">
        <v>0</v>
      </c>
      <c r="B7" s="4" t="s">
        <v>3</v>
      </c>
      <c r="C7" s="6" t="s">
        <v>4</v>
      </c>
      <c r="D7" s="4" t="s">
        <v>6</v>
      </c>
      <c r="E7" s="4" t="s">
        <v>14</v>
      </c>
      <c r="F7" s="6" t="s">
        <v>8</v>
      </c>
      <c r="G7" s="6" t="s">
        <v>9</v>
      </c>
      <c r="H7" s="6" t="s">
        <v>14</v>
      </c>
      <c r="I7" s="4" t="s">
        <v>10</v>
      </c>
      <c r="J7" s="4" t="s">
        <v>16</v>
      </c>
      <c r="K7" s="4" t="s">
        <v>26</v>
      </c>
      <c r="L7" s="4" t="s">
        <v>12</v>
      </c>
      <c r="M7" s="4" t="s">
        <v>13</v>
      </c>
    </row>
    <row r="8" spans="1:13" x14ac:dyDescent="0.25">
      <c r="A8" s="7" t="s">
        <v>27</v>
      </c>
      <c r="B8" s="7" t="s">
        <v>29</v>
      </c>
      <c r="C8" s="9">
        <f>$C$2/22.5*5.5</f>
        <v>22712.800000000003</v>
      </c>
      <c r="D8" s="9">
        <f>$D$2/22.5*5.5</f>
        <v>90851.200000000012</v>
      </c>
      <c r="E8" s="6">
        <f t="shared" ref="E8" si="1">SUM(C8:D8)</f>
        <v>113564.00000000001</v>
      </c>
      <c r="F8" s="9">
        <f>Consultores!F8</f>
        <v>19055.669999999998</v>
      </c>
      <c r="G8" s="9">
        <f>Consultores!G8</f>
        <v>84264.56</v>
      </c>
      <c r="H8" s="6">
        <f t="shared" ref="H8" si="2">SUM(F8:G8)</f>
        <v>103320.23</v>
      </c>
      <c r="I8" s="18">
        <f t="shared" ref="I8" si="3">H8/E8</f>
        <v>0.90979738297347734</v>
      </c>
      <c r="J8" s="17">
        <f>'Chefe de oficina'!D6</f>
        <v>0.42699999999999999</v>
      </c>
      <c r="K8" s="18">
        <f>J8/$F$2</f>
        <v>0.77636363636363626</v>
      </c>
      <c r="L8" s="12">
        <f>Consultores!L8</f>
        <v>0.2883</v>
      </c>
      <c r="M8" s="19">
        <f>L8/$G$2</f>
        <v>0.96100000000000008</v>
      </c>
    </row>
    <row r="9" spans="1:13" x14ac:dyDescent="0.25">
      <c r="E9" s="4" t="s">
        <v>14</v>
      </c>
      <c r="F9" s="2"/>
      <c r="G9" s="2"/>
      <c r="H9" s="3"/>
      <c r="J9" s="2"/>
    </row>
    <row r="10" spans="1:13" x14ac:dyDescent="0.25">
      <c r="A10" s="4" t="s">
        <v>0</v>
      </c>
      <c r="B10" s="4" t="s">
        <v>3</v>
      </c>
      <c r="C10" s="6" t="s">
        <v>4</v>
      </c>
      <c r="D10" s="4" t="s">
        <v>6</v>
      </c>
      <c r="E10" s="4"/>
      <c r="F10" s="6" t="s">
        <v>8</v>
      </c>
      <c r="G10" s="6" t="s">
        <v>9</v>
      </c>
      <c r="H10" s="6" t="s">
        <v>14</v>
      </c>
      <c r="I10" s="4" t="s">
        <v>10</v>
      </c>
      <c r="J10" s="4" t="s">
        <v>16</v>
      </c>
      <c r="K10" s="4" t="s">
        <v>26</v>
      </c>
      <c r="L10" s="4" t="s">
        <v>12</v>
      </c>
      <c r="M10" s="4" t="s">
        <v>13</v>
      </c>
    </row>
    <row r="11" spans="1:13" x14ac:dyDescent="0.25">
      <c r="A11" s="7" t="s">
        <v>27</v>
      </c>
      <c r="B11" s="7" t="s">
        <v>30</v>
      </c>
      <c r="C11" s="9">
        <f>$C$2/22.5*5.5</f>
        <v>22712.800000000003</v>
      </c>
      <c r="D11" s="9">
        <f>$D$2/22.5*5.5</f>
        <v>90851.200000000012</v>
      </c>
      <c r="E11" s="6">
        <f t="shared" ref="E11" si="4">SUM(C11:D11)</f>
        <v>113564.00000000001</v>
      </c>
      <c r="F11" s="9">
        <f>Consultores!F11</f>
        <v>20084.8</v>
      </c>
      <c r="G11" s="9">
        <f>Consultores!G11</f>
        <v>147713.57999999999</v>
      </c>
      <c r="H11" s="6">
        <f t="shared" ref="H11" si="5">SUM(F11:G11)</f>
        <v>167798.37999999998</v>
      </c>
      <c r="I11" s="18">
        <f t="shared" ref="I11" si="6">H11/E11</f>
        <v>1.4775666584480993</v>
      </c>
      <c r="J11" s="12">
        <f>'Chefe de oficina'!F6</f>
        <v>0.6573</v>
      </c>
      <c r="K11" s="18">
        <f>J11/$F$2</f>
        <v>1.195090909090909</v>
      </c>
      <c r="L11" s="12">
        <f>Consultores!L11</f>
        <v>0.25600000000000001</v>
      </c>
      <c r="M11" s="19">
        <f>L11/$G$2</f>
        <v>0.85333333333333339</v>
      </c>
    </row>
    <row r="12" spans="1:13" x14ac:dyDescent="0.25">
      <c r="F12" s="2"/>
      <c r="G12" s="2"/>
      <c r="H12" s="3"/>
      <c r="J12" s="2"/>
    </row>
    <row r="13" spans="1:13" x14ac:dyDescent="0.25">
      <c r="A13" s="4" t="s">
        <v>0</v>
      </c>
      <c r="B13" s="4" t="s">
        <v>3</v>
      </c>
      <c r="C13" s="6" t="s">
        <v>4</v>
      </c>
      <c r="D13" s="4" t="s">
        <v>6</v>
      </c>
      <c r="E13" s="4" t="s">
        <v>14</v>
      </c>
      <c r="F13" s="6" t="s">
        <v>8</v>
      </c>
      <c r="G13" s="6" t="s">
        <v>9</v>
      </c>
      <c r="H13" s="6" t="s">
        <v>14</v>
      </c>
      <c r="I13" s="4" t="s">
        <v>10</v>
      </c>
      <c r="J13" s="4" t="s">
        <v>16</v>
      </c>
      <c r="K13" s="4" t="s">
        <v>26</v>
      </c>
      <c r="L13" s="4" t="s">
        <v>12</v>
      </c>
      <c r="M13" s="4" t="s">
        <v>13</v>
      </c>
    </row>
    <row r="14" spans="1:13" x14ac:dyDescent="0.25">
      <c r="A14" s="7" t="s">
        <v>27</v>
      </c>
      <c r="B14" s="7" t="s">
        <v>31</v>
      </c>
      <c r="C14" s="9">
        <f>$C$2/22.5*5.5</f>
        <v>22712.800000000003</v>
      </c>
      <c r="D14" s="9">
        <f>$D$2/22.5*5.5</f>
        <v>90851.200000000012</v>
      </c>
      <c r="E14" s="6">
        <f t="shared" ref="E14" si="7">SUM(C14:D14)</f>
        <v>113564.00000000001</v>
      </c>
      <c r="F14" s="9">
        <f>Consultores!F14</f>
        <v>33637.370000000003</v>
      </c>
      <c r="G14" s="9">
        <f>Consultores!G14</f>
        <v>118610.56</v>
      </c>
      <c r="H14" s="6">
        <f t="shared" ref="H14" si="8">SUM(F14:G14)</f>
        <v>152247.93</v>
      </c>
      <c r="I14" s="18">
        <f t="shared" ref="I14" si="9">H14/E14</f>
        <v>1.3406355006868371</v>
      </c>
      <c r="J14" s="12">
        <f>'Chefe de oficina'!H6</f>
        <v>0.67630000000000001</v>
      </c>
      <c r="K14" s="18">
        <f>J14/$F$2</f>
        <v>1.2296363636363636</v>
      </c>
      <c r="L14" s="12">
        <f>Consultores!L14</f>
        <v>0.22370000000000001</v>
      </c>
      <c r="M14" s="19">
        <f>L14/$G$2</f>
        <v>0.7456666666666667</v>
      </c>
    </row>
    <row r="16" spans="1:13" x14ac:dyDescent="0.25">
      <c r="A16" s="4" t="s">
        <v>0</v>
      </c>
      <c r="B16" s="4" t="s">
        <v>5</v>
      </c>
      <c r="C16" s="6" t="s">
        <v>4</v>
      </c>
      <c r="D16" s="4" t="s">
        <v>6</v>
      </c>
      <c r="E16" s="4" t="s">
        <v>14</v>
      </c>
      <c r="F16" s="6" t="s">
        <v>8</v>
      </c>
      <c r="G16" s="6" t="s">
        <v>9</v>
      </c>
      <c r="H16" s="6" t="s">
        <v>14</v>
      </c>
      <c r="I16" s="4" t="s">
        <v>10</v>
      </c>
      <c r="J16" s="4" t="s">
        <v>16</v>
      </c>
      <c r="K16" s="4" t="s">
        <v>26</v>
      </c>
      <c r="L16" s="4" t="s">
        <v>12</v>
      </c>
      <c r="M16" s="4" t="s">
        <v>13</v>
      </c>
    </row>
    <row r="17" spans="1:13" x14ac:dyDescent="0.25">
      <c r="A17" s="7" t="s">
        <v>27</v>
      </c>
      <c r="B17" s="27">
        <v>46235</v>
      </c>
      <c r="C17" s="9">
        <f>+C5+C8+C11+C14</f>
        <v>92916.000000000015</v>
      </c>
      <c r="D17" s="9">
        <f>+D5+D8+D11+D14</f>
        <v>371664.00000000006</v>
      </c>
      <c r="E17" s="9">
        <f t="shared" ref="E17" si="10">SUM(C17:D17)</f>
        <v>464580.00000000006</v>
      </c>
      <c r="F17" s="9">
        <f>+F5+F8+F11+F14</f>
        <v>79109.239999999991</v>
      </c>
      <c r="G17" s="9">
        <f>+G5+G8+G11+G14</f>
        <v>396241.37999999995</v>
      </c>
      <c r="H17" s="6">
        <f>+H5+H8+H11+H14</f>
        <v>475350.61999999994</v>
      </c>
      <c r="I17" s="12">
        <f t="shared" ref="I17" si="11">H17/E17</f>
        <v>1.0231835636488869</v>
      </c>
      <c r="J17" s="12">
        <f>'Chefe de oficina'!J6</f>
        <v>0.4471</v>
      </c>
      <c r="K17" s="18">
        <f>J17/$F$2</f>
        <v>0.8129090909090908</v>
      </c>
      <c r="L17" s="12">
        <f>Consultores!L17</f>
        <v>0.26629999999999998</v>
      </c>
      <c r="M17" s="19">
        <f>L17/$G$2</f>
        <v>0.8876666666666666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Consultores</vt:lpstr>
      <vt:lpstr>Chefe de oficina</vt:lpstr>
      <vt:lpstr>Mecânicos</vt:lpstr>
      <vt:lpstr>Gerente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Caioba</dc:creator>
  <cp:lastModifiedBy>Grupo Caioba</cp:lastModifiedBy>
  <dcterms:created xsi:type="dcterms:W3CDTF">2026-07-17T11:42:49Z</dcterms:created>
  <dcterms:modified xsi:type="dcterms:W3CDTF">2026-09-01T20:03:12Z</dcterms:modified>
</cp:coreProperties>
</file>