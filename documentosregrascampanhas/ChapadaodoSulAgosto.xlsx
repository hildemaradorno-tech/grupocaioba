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7613e4da0c5d02/Documentos/Pos-Venda/Campanha/Agosto/"/>
    </mc:Choice>
  </mc:AlternateContent>
  <xr:revisionPtr revIDLastSave="2" documentId="13_ncr:1_{A46A035E-12A6-4AC3-B6F0-DFDAE6901E45}" xr6:coauthVersionLast="47" xr6:coauthVersionMax="47" xr10:uidLastSave="{2E3D77D0-B317-4A06-A564-99FDA72985A4}"/>
  <bookViews>
    <workbookView xWindow="-120" yWindow="-120" windowWidth="29040" windowHeight="15720" xr2:uid="{F734D757-4ECA-4156-B62E-13869BBD4E7A}"/>
  </bookViews>
  <sheets>
    <sheet name="Consultores" sheetId="1" r:id="rId1"/>
    <sheet name="Mecânicos" sheetId="2" r:id="rId2"/>
    <sheet name="Gerent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1" i="6" l="1"/>
  <c r="M11" i="6" s="1"/>
  <c r="L8" i="6"/>
  <c r="M8" i="6" s="1"/>
  <c r="J11" i="6"/>
  <c r="K11" i="6" s="1"/>
  <c r="K14" i="6"/>
  <c r="J8" i="6"/>
  <c r="L5" i="6"/>
  <c r="J5" i="6"/>
  <c r="K5" i="6" s="1"/>
  <c r="D17" i="6"/>
  <c r="C17" i="6"/>
  <c r="D14" i="6"/>
  <c r="C14" i="6"/>
  <c r="D11" i="6"/>
  <c r="C11" i="6"/>
  <c r="D8" i="6"/>
  <c r="C8" i="6"/>
  <c r="D5" i="6"/>
  <c r="C5" i="6"/>
  <c r="G17" i="1"/>
  <c r="F17" i="1"/>
  <c r="D17" i="1"/>
  <c r="C17" i="1"/>
  <c r="E17" i="1" s="1"/>
  <c r="D14" i="1"/>
  <c r="C14" i="1"/>
  <c r="D11" i="1"/>
  <c r="C11" i="1"/>
  <c r="D8" i="1"/>
  <c r="C8" i="1"/>
  <c r="D5" i="1"/>
  <c r="C5" i="1"/>
  <c r="K17" i="6"/>
  <c r="G14" i="6"/>
  <c r="G17" i="6" s="1"/>
  <c r="F14" i="6"/>
  <c r="H14" i="6" s="1"/>
  <c r="G11" i="6"/>
  <c r="F11" i="6"/>
  <c r="H11" i="6" s="1"/>
  <c r="G8" i="6"/>
  <c r="F8" i="6"/>
  <c r="G5" i="6"/>
  <c r="F5" i="6"/>
  <c r="M14" i="1"/>
  <c r="M17" i="6"/>
  <c r="M17" i="1"/>
  <c r="K17" i="1"/>
  <c r="H14" i="1"/>
  <c r="M11" i="1"/>
  <c r="M14" i="6"/>
  <c r="E14" i="6"/>
  <c r="K8" i="6"/>
  <c r="E8" i="6"/>
  <c r="M5" i="6"/>
  <c r="E2" i="6"/>
  <c r="K14" i="1"/>
  <c r="K11" i="1"/>
  <c r="K8" i="1"/>
  <c r="H11" i="1"/>
  <c r="M8" i="1"/>
  <c r="M5" i="1"/>
  <c r="H8" i="1"/>
  <c r="K5" i="1"/>
  <c r="H5" i="1"/>
  <c r="H8" i="6" l="1"/>
  <c r="F17" i="6"/>
  <c r="I14" i="6"/>
  <c r="E17" i="6"/>
  <c r="H17" i="1"/>
  <c r="I17" i="1" s="1"/>
  <c r="H5" i="6"/>
  <c r="E5" i="6"/>
  <c r="E11" i="6"/>
  <c r="I11" i="6" s="1"/>
  <c r="E5" i="1"/>
  <c r="I5" i="1" s="1"/>
  <c r="E2" i="1"/>
  <c r="H17" i="6" l="1"/>
  <c r="I17" i="6" s="1"/>
  <c r="I8" i="6"/>
  <c r="I5" i="6"/>
  <c r="E8" i="1"/>
  <c r="I8" i="1" s="1"/>
  <c r="E11" i="1" l="1"/>
  <c r="I11" i="1" s="1"/>
  <c r="E14" i="1"/>
  <c r="I14" i="1" s="1"/>
</calcChain>
</file>

<file path=xl/sharedStrings.xml><?xml version="1.0" encoding="utf-8"?>
<sst xmlns="http://schemas.openxmlformats.org/spreadsheetml/2006/main" count="184" uniqueCount="29">
  <si>
    <t>Partipantes</t>
  </si>
  <si>
    <t>Serviços Total</t>
  </si>
  <si>
    <t>Peças Total</t>
  </si>
  <si>
    <t xml:space="preserve">Semana </t>
  </si>
  <si>
    <t>Meta_Serviços</t>
  </si>
  <si>
    <t>Mês</t>
  </si>
  <si>
    <t>Meta_Peças</t>
  </si>
  <si>
    <t>Ticket_Medio</t>
  </si>
  <si>
    <t>Realizado_Serviços</t>
  </si>
  <si>
    <t>Realizado_Peças</t>
  </si>
  <si>
    <t>% Faturamento</t>
  </si>
  <si>
    <t>% Ticket</t>
  </si>
  <si>
    <t>MB Peças</t>
  </si>
  <si>
    <t>%MB Peças</t>
  </si>
  <si>
    <t>Total</t>
  </si>
  <si>
    <t>Participantes</t>
  </si>
  <si>
    <t>Produtividade</t>
  </si>
  <si>
    <t>Meta_Produtividade</t>
  </si>
  <si>
    <t>&lt;120%</t>
  </si>
  <si>
    <t>Meta_Eficiência</t>
  </si>
  <si>
    <t>Eficiência</t>
  </si>
  <si>
    <t>% Produtividade</t>
  </si>
  <si>
    <t>Lucas</t>
  </si>
  <si>
    <t>Fabiano Nascimento</t>
  </si>
  <si>
    <t>01 à 08/08</t>
  </si>
  <si>
    <t>10 à 15/08</t>
  </si>
  <si>
    <t>17 à 22/08</t>
  </si>
  <si>
    <t>24 à 31/08</t>
  </si>
  <si>
    <t>Lucas Rezende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</si>
</sst>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4" fontId="0" fillId="0" borderId="0" xfId="0" applyNumberFormat="1"/>
    <xf numFmtId="4" fontId="2" fillId="0" borderId="0" xfId="0" applyNumberFormat="1" applyFont="1"/>
    <xf numFmtId="0" fontId="2" fillId="0" borderId="1" xfId="0" applyFont="1" applyBorder="1"/>
    <xf numFmtId="164" fontId="2" fillId="0" borderId="1" xfId="0" applyNumberFormat="1" applyFont="1" applyBorder="1"/>
    <xf numFmtId="4" fontId="2" fillId="0" borderId="1" xfId="0" applyNumberFormat="1" applyFont="1" applyBorder="1"/>
    <xf numFmtId="0" fontId="0" fillId="0" borderId="1" xfId="0" applyBorder="1"/>
    <xf numFmtId="164" fontId="0" fillId="0" borderId="1" xfId="0" applyNumberFormat="1" applyBorder="1"/>
    <xf numFmtId="4" fontId="0" fillId="0" borderId="1" xfId="0" applyNumberFormat="1" applyBorder="1"/>
    <xf numFmtId="9" fontId="0" fillId="0" borderId="1" xfId="0" applyNumberFormat="1" applyBorder="1"/>
    <xf numFmtId="10" fontId="0" fillId="0" borderId="1" xfId="1" applyNumberFormat="1" applyFont="1" applyBorder="1"/>
    <xf numFmtId="10" fontId="0" fillId="0" borderId="1" xfId="0" applyNumberFormat="1" applyBorder="1"/>
    <xf numFmtId="9" fontId="2" fillId="0" borderId="0" xfId="0" applyNumberFormat="1" applyFont="1"/>
    <xf numFmtId="10" fontId="1" fillId="0" borderId="1" xfId="1" applyNumberFormat="1" applyFont="1" applyBorder="1"/>
    <xf numFmtId="10" fontId="2" fillId="0" borderId="1" xfId="1" applyNumberFormat="1" applyFont="1" applyBorder="1"/>
    <xf numFmtId="10" fontId="2" fillId="0" borderId="1" xfId="0" applyNumberFormat="1" applyFont="1" applyBorder="1"/>
    <xf numFmtId="0" fontId="0" fillId="0" borderId="2" xfId="0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0" fontId="0" fillId="0" borderId="5" xfId="1" applyNumberFormat="1" applyFont="1" applyBorder="1"/>
    <xf numFmtId="10" fontId="0" fillId="0" borderId="6" xfId="1" applyNumberFormat="1" applyFont="1" applyBorder="1"/>
    <xf numFmtId="9" fontId="2" fillId="0" borderId="1" xfId="1" applyFont="1" applyBorder="1"/>
    <xf numFmtId="9" fontId="2" fillId="0" borderId="1" xfId="0" applyNumberFormat="1" applyFont="1" applyBorder="1"/>
    <xf numFmtId="17" fontId="0" fillId="0" borderId="1" xfId="0" applyNumberForma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A02EC-A5E3-456D-B7ED-5FDCBF32F128}">
  <dimension ref="A1:M17"/>
  <sheetViews>
    <sheetView tabSelected="1" workbookViewId="0">
      <selection activeCell="A2" sqref="A2"/>
    </sheetView>
  </sheetViews>
  <sheetFormatPr defaultRowHeight="15" x14ac:dyDescent="0.25"/>
  <cols>
    <col min="1" max="1" width="31.28515625" customWidth="1"/>
    <col min="2" max="2" width="12.140625" style="2" customWidth="1"/>
    <col min="3" max="3" width="12.5703125" style="2" bestFit="1" customWidth="1"/>
    <col min="4" max="4" width="12" customWidth="1"/>
    <col min="5" max="5" width="12" style="1" customWidth="1"/>
    <col min="6" max="6" width="17.5703125" customWidth="1"/>
    <col min="7" max="7" width="15.7109375" customWidth="1"/>
    <col min="8" max="8" width="11.140625" style="1" customWidth="1"/>
    <col min="9" max="9" width="13.7109375" style="1" bestFit="1" customWidth="1"/>
    <col min="10" max="10" width="14.42578125" customWidth="1"/>
    <col min="11" max="11" width="14.42578125" style="1" customWidth="1"/>
    <col min="12" max="12" width="14.28515625" customWidth="1"/>
    <col min="13" max="13" width="14.28515625" style="1" customWidth="1"/>
  </cols>
  <sheetData>
    <row r="1" spans="1:13" x14ac:dyDescent="0.25">
      <c r="A1" s="4" t="s">
        <v>0</v>
      </c>
      <c r="B1" s="5" t="s">
        <v>5</v>
      </c>
      <c r="C1" s="6" t="s">
        <v>1</v>
      </c>
      <c r="D1" s="6" t="s">
        <v>2</v>
      </c>
      <c r="E1" s="6" t="s">
        <v>14</v>
      </c>
      <c r="F1" s="4" t="s">
        <v>7</v>
      </c>
      <c r="G1" s="4" t="s">
        <v>12</v>
      </c>
      <c r="J1" s="1"/>
      <c r="L1" s="1"/>
    </row>
    <row r="2" spans="1:13" x14ac:dyDescent="0.25">
      <c r="A2" s="7" t="s">
        <v>28</v>
      </c>
      <c r="B2" s="8">
        <v>46235</v>
      </c>
      <c r="C2" s="9">
        <v>17565</v>
      </c>
      <c r="D2" s="9">
        <v>79042.5</v>
      </c>
      <c r="E2" s="6">
        <f>SUM(C2:D2)</f>
        <v>96607.5</v>
      </c>
      <c r="F2" s="9">
        <v>2800</v>
      </c>
      <c r="G2" s="10">
        <v>0.3</v>
      </c>
      <c r="H2" s="13"/>
      <c r="I2" s="13"/>
    </row>
    <row r="4" spans="1:13" x14ac:dyDescent="0.25">
      <c r="A4" s="4" t="s">
        <v>0</v>
      </c>
      <c r="B4" s="4" t="s">
        <v>3</v>
      </c>
      <c r="C4" s="6" t="s">
        <v>4</v>
      </c>
      <c r="D4" s="4" t="s">
        <v>6</v>
      </c>
      <c r="E4" s="4" t="s">
        <v>14</v>
      </c>
      <c r="F4" s="6" t="s">
        <v>8</v>
      </c>
      <c r="G4" s="6" t="s">
        <v>9</v>
      </c>
      <c r="H4" s="6" t="s">
        <v>14</v>
      </c>
      <c r="I4" s="4" t="s">
        <v>10</v>
      </c>
      <c r="J4" s="4" t="s">
        <v>7</v>
      </c>
      <c r="K4" s="4" t="s">
        <v>11</v>
      </c>
      <c r="L4" s="4" t="s">
        <v>12</v>
      </c>
      <c r="M4" s="4" t="s">
        <v>13</v>
      </c>
    </row>
    <row r="5" spans="1:13" x14ac:dyDescent="0.25">
      <c r="A5" s="7" t="s">
        <v>28</v>
      </c>
      <c r="B5" s="7" t="s">
        <v>24</v>
      </c>
      <c r="C5" s="9">
        <f>$C$2/22.5*6</f>
        <v>4684</v>
      </c>
      <c r="D5" s="9">
        <f>$D$2/22.5*6</f>
        <v>21078</v>
      </c>
      <c r="E5" s="6">
        <f t="shared" ref="E5" si="0">SUM(C5:D5)</f>
        <v>25762</v>
      </c>
      <c r="F5" s="9">
        <v>5170.55</v>
      </c>
      <c r="G5" s="9">
        <v>24699.79</v>
      </c>
      <c r="H5" s="6">
        <f>SUM(F5:G5)</f>
        <v>29870.34</v>
      </c>
      <c r="I5" s="15">
        <f>H5/E5</f>
        <v>1.1594728670134307</v>
      </c>
      <c r="J5" s="9">
        <v>3733.79</v>
      </c>
      <c r="K5" s="15">
        <f>J5/$F$2</f>
        <v>1.3334964285714286</v>
      </c>
      <c r="L5" s="12">
        <v>0.32200000000000001</v>
      </c>
      <c r="M5" s="16">
        <f>L5/$G$2</f>
        <v>1.0733333333333335</v>
      </c>
    </row>
    <row r="6" spans="1:13" x14ac:dyDescent="0.25">
      <c r="F6" s="2"/>
      <c r="G6" s="2"/>
      <c r="H6" s="3"/>
      <c r="J6" s="2"/>
    </row>
    <row r="7" spans="1:13" x14ac:dyDescent="0.25">
      <c r="A7" s="4" t="s">
        <v>0</v>
      </c>
      <c r="B7" s="4" t="s">
        <v>3</v>
      </c>
      <c r="C7" s="6" t="s">
        <v>4</v>
      </c>
      <c r="D7" s="4" t="s">
        <v>6</v>
      </c>
      <c r="E7" s="4" t="s">
        <v>14</v>
      </c>
      <c r="F7" s="6" t="s">
        <v>8</v>
      </c>
      <c r="G7" s="6" t="s">
        <v>9</v>
      </c>
      <c r="H7" s="6" t="s">
        <v>14</v>
      </c>
      <c r="I7" s="4" t="s">
        <v>10</v>
      </c>
      <c r="J7" s="6" t="s">
        <v>7</v>
      </c>
      <c r="K7" s="4" t="s">
        <v>11</v>
      </c>
      <c r="L7" s="4" t="s">
        <v>12</v>
      </c>
      <c r="M7" s="4" t="s">
        <v>13</v>
      </c>
    </row>
    <row r="8" spans="1:13" x14ac:dyDescent="0.25">
      <c r="A8" s="7" t="s">
        <v>28</v>
      </c>
      <c r="B8" s="7" t="s">
        <v>25</v>
      </c>
      <c r="C8" s="9">
        <f>$C$2/22.5*5.5</f>
        <v>4293.6666666666661</v>
      </c>
      <c r="D8" s="9">
        <f>$D$2/22.5*5.5</f>
        <v>19321.5</v>
      </c>
      <c r="E8" s="6">
        <f t="shared" ref="E8" si="1">SUM(C8:D8)</f>
        <v>23615.166666666664</v>
      </c>
      <c r="F8" s="9">
        <v>533.15</v>
      </c>
      <c r="G8" s="9">
        <v>3123.9</v>
      </c>
      <c r="H8" s="6">
        <f t="shared" ref="H8" si="2">SUM(F8:G8)</f>
        <v>3657.05</v>
      </c>
      <c r="I8" s="15">
        <f t="shared" ref="I8" si="3">H8/E8</f>
        <v>0.15486022400858207</v>
      </c>
      <c r="J8" s="9">
        <v>1828.53</v>
      </c>
      <c r="K8" s="15">
        <f>J8/$F$2</f>
        <v>0.65304642857142858</v>
      </c>
      <c r="L8" s="11">
        <v>0.38890000000000002</v>
      </c>
      <c r="M8" s="16">
        <f>L8/$G$2</f>
        <v>1.2963333333333336</v>
      </c>
    </row>
    <row r="9" spans="1:13" x14ac:dyDescent="0.25">
      <c r="E9" s="4" t="s">
        <v>14</v>
      </c>
      <c r="F9" s="2"/>
      <c r="G9" s="2"/>
      <c r="H9" s="3"/>
      <c r="J9" s="2"/>
    </row>
    <row r="10" spans="1:13" x14ac:dyDescent="0.25">
      <c r="A10" s="4" t="s">
        <v>0</v>
      </c>
      <c r="B10" s="4" t="s">
        <v>3</v>
      </c>
      <c r="C10" s="6" t="s">
        <v>4</v>
      </c>
      <c r="D10" s="4" t="s">
        <v>6</v>
      </c>
      <c r="E10" s="4"/>
      <c r="F10" s="6" t="s">
        <v>8</v>
      </c>
      <c r="G10" s="6" t="s">
        <v>9</v>
      </c>
      <c r="H10" s="6" t="s">
        <v>14</v>
      </c>
      <c r="I10" s="4" t="s">
        <v>10</v>
      </c>
      <c r="J10" s="6" t="s">
        <v>7</v>
      </c>
      <c r="K10" s="4" t="s">
        <v>11</v>
      </c>
      <c r="L10" s="4" t="s">
        <v>12</v>
      </c>
      <c r="M10" s="4" t="s">
        <v>13</v>
      </c>
    </row>
    <row r="11" spans="1:13" x14ac:dyDescent="0.25">
      <c r="A11" s="7" t="s">
        <v>28</v>
      </c>
      <c r="B11" s="7" t="s">
        <v>26</v>
      </c>
      <c r="C11" s="9">
        <f>$C$2/22.5*5.5</f>
        <v>4293.6666666666661</v>
      </c>
      <c r="D11" s="9">
        <f>$D$2/22.5*5.5</f>
        <v>19321.5</v>
      </c>
      <c r="E11" s="6">
        <f t="shared" ref="E11" si="4">SUM(C11:D11)</f>
        <v>23615.166666666664</v>
      </c>
      <c r="F11" s="9">
        <v>2917.05</v>
      </c>
      <c r="G11" s="9">
        <v>27669.83</v>
      </c>
      <c r="H11" s="6">
        <f t="shared" ref="H11" si="5">SUM(F11:G11)</f>
        <v>30586.880000000001</v>
      </c>
      <c r="I11" s="15">
        <f t="shared" ref="I11" si="6">H11/E11</f>
        <v>1.2952218560106148</v>
      </c>
      <c r="J11" s="9">
        <v>4369.55</v>
      </c>
      <c r="K11" s="15">
        <f>J11/$F$2</f>
        <v>1.5605535714285714</v>
      </c>
      <c r="L11" s="11">
        <v>0.26229999999999998</v>
      </c>
      <c r="M11" s="16">
        <f>L11/$G$2</f>
        <v>0.8743333333333333</v>
      </c>
    </row>
    <row r="12" spans="1:13" x14ac:dyDescent="0.25">
      <c r="F12" s="2"/>
      <c r="G12" s="2"/>
      <c r="H12" s="3"/>
      <c r="J12" s="2"/>
    </row>
    <row r="13" spans="1:13" x14ac:dyDescent="0.25">
      <c r="A13" s="4" t="s">
        <v>0</v>
      </c>
      <c r="B13" s="4" t="s">
        <v>3</v>
      </c>
      <c r="C13" s="6" t="s">
        <v>4</v>
      </c>
      <c r="D13" s="4" t="s">
        <v>6</v>
      </c>
      <c r="E13" s="4" t="s">
        <v>14</v>
      </c>
      <c r="F13" s="6" t="s">
        <v>8</v>
      </c>
      <c r="G13" s="6" t="s">
        <v>9</v>
      </c>
      <c r="H13" s="6" t="s">
        <v>14</v>
      </c>
      <c r="I13" s="4" t="s">
        <v>10</v>
      </c>
      <c r="J13" s="6" t="s">
        <v>7</v>
      </c>
      <c r="K13" s="4" t="s">
        <v>11</v>
      </c>
      <c r="L13" s="4" t="s">
        <v>12</v>
      </c>
      <c r="M13" s="4" t="s">
        <v>13</v>
      </c>
    </row>
    <row r="14" spans="1:13" x14ac:dyDescent="0.25">
      <c r="A14" s="7" t="s">
        <v>28</v>
      </c>
      <c r="B14" s="7" t="s">
        <v>27</v>
      </c>
      <c r="C14" s="9">
        <f>$C$2/22.5*5.5</f>
        <v>4293.6666666666661</v>
      </c>
      <c r="D14" s="9">
        <f>$D$2/22.5*5.5</f>
        <v>19321.5</v>
      </c>
      <c r="E14" s="6">
        <f t="shared" ref="E14" si="7">SUM(C14:D14)</f>
        <v>23615.166666666664</v>
      </c>
      <c r="F14" s="9">
        <v>5567.3</v>
      </c>
      <c r="G14" s="9">
        <v>11018.13</v>
      </c>
      <c r="H14" s="6">
        <f t="shared" ref="H14" si="8">SUM(F14:G14)</f>
        <v>16585.43</v>
      </c>
      <c r="I14" s="15">
        <f t="shared" ref="I14" si="9">H14/E14</f>
        <v>0.70232110719805785</v>
      </c>
      <c r="J14" s="9">
        <v>1382.12</v>
      </c>
      <c r="K14" s="15">
        <f>J14/$F$2</f>
        <v>0.49361428571428567</v>
      </c>
      <c r="L14" s="11">
        <v>0.22470000000000001</v>
      </c>
      <c r="M14" s="16">
        <f>L14/$G$2</f>
        <v>0.74900000000000011</v>
      </c>
    </row>
    <row r="16" spans="1:13" x14ac:dyDescent="0.25">
      <c r="A16" s="4" t="s">
        <v>0</v>
      </c>
      <c r="B16" s="4" t="s">
        <v>5</v>
      </c>
      <c r="C16" s="6" t="s">
        <v>4</v>
      </c>
      <c r="D16" s="4" t="s">
        <v>6</v>
      </c>
      <c r="E16" s="4" t="s">
        <v>14</v>
      </c>
      <c r="F16" s="6" t="s">
        <v>8</v>
      </c>
      <c r="G16" s="6" t="s">
        <v>9</v>
      </c>
      <c r="H16" s="6" t="s">
        <v>14</v>
      </c>
      <c r="I16" s="4" t="s">
        <v>10</v>
      </c>
      <c r="J16" s="6" t="s">
        <v>7</v>
      </c>
      <c r="K16" s="4" t="s">
        <v>11</v>
      </c>
      <c r="L16" s="4" t="s">
        <v>12</v>
      </c>
      <c r="M16" s="4" t="s">
        <v>13</v>
      </c>
    </row>
    <row r="17" spans="1:13" x14ac:dyDescent="0.25">
      <c r="A17" s="7" t="s">
        <v>28</v>
      </c>
      <c r="B17" s="24">
        <v>46235</v>
      </c>
      <c r="C17" s="9">
        <f>+C5+C8+C11+C14</f>
        <v>17565</v>
      </c>
      <c r="D17" s="9">
        <f>+D5+D8+D11+D14</f>
        <v>79042.5</v>
      </c>
      <c r="E17" s="9">
        <f t="shared" ref="E17" si="10">SUM(C17:D17)</f>
        <v>96607.5</v>
      </c>
      <c r="F17" s="9">
        <f>+F5+F8+F11+F14</f>
        <v>14188.05</v>
      </c>
      <c r="G17" s="9">
        <f>+G5+G8+G11+G14</f>
        <v>66511.650000000009</v>
      </c>
      <c r="H17" s="9">
        <f>+H5+H8+H11+H14</f>
        <v>80699.700000000012</v>
      </c>
      <c r="I17" s="11">
        <f t="shared" ref="I17" si="11">H17/E17</f>
        <v>0.83533576585668823</v>
      </c>
      <c r="J17" s="9">
        <v>2782.75</v>
      </c>
      <c r="K17" s="15">
        <f>J17/$F$2</f>
        <v>0.9938392857142857</v>
      </c>
      <c r="L17" s="11">
        <v>0.28420000000000001</v>
      </c>
      <c r="M17" s="16">
        <f>L17/$G$2</f>
        <v>0.94733333333333336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E80AB-76F4-4A7D-8755-CC9D2B9A40F5}">
  <dimension ref="A1:M3"/>
  <sheetViews>
    <sheetView workbookViewId="0">
      <selection activeCell="F22" sqref="F22"/>
    </sheetView>
  </sheetViews>
  <sheetFormatPr defaultColWidth="10.42578125" defaultRowHeight="15" x14ac:dyDescent="0.25"/>
  <cols>
    <col min="1" max="1" width="30.28515625" bestFit="1" customWidth="1"/>
    <col min="2" max="2" width="17.85546875" bestFit="1" customWidth="1"/>
    <col min="3" max="3" width="14.28515625" customWidth="1"/>
    <col min="4" max="4" width="12.7109375" bestFit="1" customWidth="1"/>
    <col min="6" max="6" width="12.7109375" customWidth="1"/>
    <col min="8" max="8" width="12" customWidth="1"/>
    <col min="10" max="10" width="12.7109375" bestFit="1" customWidth="1"/>
    <col min="12" max="12" width="12.7109375" bestFit="1" customWidth="1"/>
  </cols>
  <sheetData>
    <row r="1" spans="1:13" x14ac:dyDescent="0.25">
      <c r="A1" s="25" t="s">
        <v>15</v>
      </c>
      <c r="B1" s="25" t="s">
        <v>17</v>
      </c>
      <c r="C1" s="26" t="s">
        <v>19</v>
      </c>
      <c r="D1" s="26" t="s">
        <v>24</v>
      </c>
      <c r="E1" s="27"/>
      <c r="F1" s="26" t="s">
        <v>25</v>
      </c>
      <c r="G1" s="27"/>
      <c r="H1" s="26" t="s">
        <v>26</v>
      </c>
      <c r="I1" s="27"/>
      <c r="J1" s="26" t="s">
        <v>27</v>
      </c>
      <c r="K1" s="30"/>
      <c r="L1" s="28" t="s">
        <v>14</v>
      </c>
      <c r="M1" s="29"/>
    </row>
    <row r="2" spans="1:13" x14ac:dyDescent="0.25">
      <c r="A2" s="25"/>
      <c r="B2" s="25"/>
      <c r="C2" s="26"/>
      <c r="D2" s="18" t="s">
        <v>16</v>
      </c>
      <c r="E2" s="19" t="s">
        <v>20</v>
      </c>
      <c r="F2" s="18" t="s">
        <v>16</v>
      </c>
      <c r="G2" s="19" t="s">
        <v>20</v>
      </c>
      <c r="H2" s="18" t="s">
        <v>16</v>
      </c>
      <c r="I2" s="19" t="s">
        <v>20</v>
      </c>
      <c r="J2" s="18" t="s">
        <v>16</v>
      </c>
      <c r="K2" s="19" t="s">
        <v>20</v>
      </c>
      <c r="L2" s="18" t="s">
        <v>16</v>
      </c>
      <c r="M2" s="19" t="s">
        <v>20</v>
      </c>
    </row>
    <row r="3" spans="1:13" x14ac:dyDescent="0.25">
      <c r="A3" s="7" t="s">
        <v>22</v>
      </c>
      <c r="B3" s="10">
        <v>0.4</v>
      </c>
      <c r="C3" s="17" t="s">
        <v>18</v>
      </c>
      <c r="D3" s="20">
        <v>0.20019999999999999</v>
      </c>
      <c r="E3" s="21">
        <v>1.1696</v>
      </c>
      <c r="F3" s="20">
        <v>3.61E-2</v>
      </c>
      <c r="G3" s="21">
        <v>0.86160000000000003</v>
      </c>
      <c r="H3" s="20">
        <v>0.17</v>
      </c>
      <c r="I3" s="21">
        <v>1.0815999999999999</v>
      </c>
      <c r="J3" s="20">
        <v>0.29039999999999999</v>
      </c>
      <c r="K3" s="21">
        <v>0.98340000000000005</v>
      </c>
      <c r="L3" s="20">
        <v>0.18909999999999999</v>
      </c>
      <c r="M3" s="21">
        <v>1.0524</v>
      </c>
    </row>
  </sheetData>
  <mergeCells count="8">
    <mergeCell ref="A1:A2"/>
    <mergeCell ref="B1:B2"/>
    <mergeCell ref="C1:C2"/>
    <mergeCell ref="D1:E1"/>
    <mergeCell ref="L1:M1"/>
    <mergeCell ref="F1:G1"/>
    <mergeCell ref="H1:I1"/>
    <mergeCell ref="J1:K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2AEF7-1D35-4B0C-82BB-A17CAF32E21F}">
  <dimension ref="A1:M17"/>
  <sheetViews>
    <sheetView zoomScaleNormal="100" workbookViewId="0">
      <selection activeCell="E17" sqref="E17"/>
    </sheetView>
  </sheetViews>
  <sheetFormatPr defaultRowHeight="15" x14ac:dyDescent="0.25"/>
  <cols>
    <col min="1" max="1" width="31.28515625" customWidth="1"/>
    <col min="2" max="3" width="12.5703125" style="2" bestFit="1" customWidth="1"/>
    <col min="4" max="4" width="12" customWidth="1"/>
    <col min="5" max="5" width="12" style="1" customWidth="1"/>
    <col min="6" max="6" width="17.5703125" customWidth="1"/>
    <col min="7" max="7" width="15.7109375" customWidth="1"/>
    <col min="8" max="8" width="11.140625" style="1" customWidth="1"/>
    <col min="9" max="9" width="13.7109375" style="1" bestFit="1" customWidth="1"/>
    <col min="10" max="10" width="14.42578125" customWidth="1"/>
    <col min="11" max="11" width="14.42578125" style="1" customWidth="1"/>
    <col min="12" max="12" width="14.28515625" customWidth="1"/>
    <col min="13" max="13" width="14.28515625" style="1" customWidth="1"/>
  </cols>
  <sheetData>
    <row r="1" spans="1:13" x14ac:dyDescent="0.25">
      <c r="A1" s="4" t="s">
        <v>0</v>
      </c>
      <c r="B1" s="5" t="s">
        <v>5</v>
      </c>
      <c r="C1" s="6" t="s">
        <v>1</v>
      </c>
      <c r="D1" s="6" t="s">
        <v>2</v>
      </c>
      <c r="E1" s="6" t="s">
        <v>14</v>
      </c>
      <c r="F1" s="4" t="s">
        <v>16</v>
      </c>
      <c r="G1" s="4" t="s">
        <v>12</v>
      </c>
      <c r="J1" s="1"/>
      <c r="L1" s="1"/>
    </row>
    <row r="2" spans="1:13" x14ac:dyDescent="0.25">
      <c r="A2" s="7" t="s">
        <v>23</v>
      </c>
      <c r="B2" s="8">
        <v>46235</v>
      </c>
      <c r="C2" s="9">
        <v>17565</v>
      </c>
      <c r="D2" s="9">
        <v>79042.5</v>
      </c>
      <c r="E2" s="6">
        <f>SUM(C2:D2)</f>
        <v>96607.5</v>
      </c>
      <c r="F2" s="22">
        <v>0.4</v>
      </c>
      <c r="G2" s="23">
        <v>0.3</v>
      </c>
      <c r="H2" s="13"/>
      <c r="I2" s="13"/>
    </row>
    <row r="4" spans="1:13" x14ac:dyDescent="0.25">
      <c r="A4" s="4" t="s">
        <v>0</v>
      </c>
      <c r="B4" s="4" t="s">
        <v>3</v>
      </c>
      <c r="C4" s="6" t="s">
        <v>4</v>
      </c>
      <c r="D4" s="4" t="s">
        <v>6</v>
      </c>
      <c r="E4" s="4" t="s">
        <v>14</v>
      </c>
      <c r="F4" s="6" t="s">
        <v>8</v>
      </c>
      <c r="G4" s="6" t="s">
        <v>9</v>
      </c>
      <c r="H4" s="6" t="s">
        <v>14</v>
      </c>
      <c r="I4" s="4" t="s">
        <v>10</v>
      </c>
      <c r="J4" s="4" t="s">
        <v>16</v>
      </c>
      <c r="K4" s="4" t="s">
        <v>21</v>
      </c>
      <c r="L4" s="4" t="s">
        <v>12</v>
      </c>
      <c r="M4" s="4" t="s">
        <v>13</v>
      </c>
    </row>
    <row r="5" spans="1:13" x14ac:dyDescent="0.25">
      <c r="A5" s="7" t="s">
        <v>23</v>
      </c>
      <c r="B5" s="7" t="s">
        <v>24</v>
      </c>
      <c r="C5" s="9">
        <f>$C$2/22.5*6</f>
        <v>4684</v>
      </c>
      <c r="D5" s="9">
        <f>$D$2/22.5*6</f>
        <v>21078</v>
      </c>
      <c r="E5" s="6">
        <f t="shared" ref="E5" si="0">SUM(C5:D5)</f>
        <v>25762</v>
      </c>
      <c r="F5" s="9">
        <f>Consultores!F5</f>
        <v>5170.55</v>
      </c>
      <c r="G5" s="9">
        <f>Consultores!G5</f>
        <v>24699.79</v>
      </c>
      <c r="H5" s="6">
        <f>SUM(F5:G5)</f>
        <v>29870.34</v>
      </c>
      <c r="I5" s="15">
        <f>H5/E5</f>
        <v>1.1594728670134307</v>
      </c>
      <c r="J5" s="11">
        <f>Mecânicos!D3</f>
        <v>0.20019999999999999</v>
      </c>
      <c r="K5" s="15">
        <f>J5/$F$2</f>
        <v>0.50049999999999994</v>
      </c>
      <c r="L5" s="12">
        <f>Consultores!L5</f>
        <v>0.32200000000000001</v>
      </c>
      <c r="M5" s="16">
        <f>L5/$G$2</f>
        <v>1.0733333333333335</v>
      </c>
    </row>
    <row r="6" spans="1:13" x14ac:dyDescent="0.25">
      <c r="F6" s="2"/>
      <c r="G6" s="2"/>
      <c r="H6" s="3"/>
      <c r="J6" s="2"/>
    </row>
    <row r="7" spans="1:13" x14ac:dyDescent="0.25">
      <c r="A7" s="4" t="s">
        <v>0</v>
      </c>
      <c r="B7" s="4" t="s">
        <v>3</v>
      </c>
      <c r="C7" s="6" t="s">
        <v>4</v>
      </c>
      <c r="D7" s="4" t="s">
        <v>6</v>
      </c>
      <c r="E7" s="4" t="s">
        <v>14</v>
      </c>
      <c r="F7" s="6" t="s">
        <v>8</v>
      </c>
      <c r="G7" s="6" t="s">
        <v>9</v>
      </c>
      <c r="H7" s="6" t="s">
        <v>14</v>
      </c>
      <c r="I7" s="4" t="s">
        <v>10</v>
      </c>
      <c r="J7" s="4" t="s">
        <v>16</v>
      </c>
      <c r="K7" s="4" t="s">
        <v>21</v>
      </c>
      <c r="L7" s="4" t="s">
        <v>12</v>
      </c>
      <c r="M7" s="4" t="s">
        <v>13</v>
      </c>
    </row>
    <row r="8" spans="1:13" x14ac:dyDescent="0.25">
      <c r="A8" s="7" t="s">
        <v>23</v>
      </c>
      <c r="B8" s="7" t="s">
        <v>25</v>
      </c>
      <c r="C8" s="9">
        <f>$C$2/22.5*5.5</f>
        <v>4293.6666666666661</v>
      </c>
      <c r="D8" s="9">
        <f>$D$2/22.5*5.5</f>
        <v>19321.5</v>
      </c>
      <c r="E8" s="6">
        <f t="shared" ref="E8" si="1">SUM(C8:D8)</f>
        <v>23615.166666666664</v>
      </c>
      <c r="F8" s="9">
        <f>Consultores!F8</f>
        <v>533.15</v>
      </c>
      <c r="G8" s="9">
        <f>Consultores!G8</f>
        <v>3123.9</v>
      </c>
      <c r="H8" s="6">
        <f t="shared" ref="H8" si="2">SUM(F8:G8)</f>
        <v>3657.05</v>
      </c>
      <c r="I8" s="15">
        <f t="shared" ref="I8" si="3">H8/E8</f>
        <v>0.15486022400858207</v>
      </c>
      <c r="J8" s="14">
        <f>Mecânicos!F3</f>
        <v>3.61E-2</v>
      </c>
      <c r="K8" s="15">
        <f>J8/$F$2</f>
        <v>9.0249999999999997E-2</v>
      </c>
      <c r="L8" s="12">
        <f>Consultores!L8</f>
        <v>0.38890000000000002</v>
      </c>
      <c r="M8" s="16">
        <f>L8/$G$2</f>
        <v>1.2963333333333336</v>
      </c>
    </row>
    <row r="9" spans="1:13" x14ac:dyDescent="0.25">
      <c r="E9" s="4" t="s">
        <v>14</v>
      </c>
      <c r="F9" s="2"/>
      <c r="G9" s="2"/>
      <c r="H9" s="3"/>
      <c r="J9" s="2"/>
    </row>
    <row r="10" spans="1:13" x14ac:dyDescent="0.25">
      <c r="A10" s="4" t="s">
        <v>0</v>
      </c>
      <c r="B10" s="4" t="s">
        <v>3</v>
      </c>
      <c r="C10" s="6" t="s">
        <v>4</v>
      </c>
      <c r="D10" s="4" t="s">
        <v>6</v>
      </c>
      <c r="E10" s="4"/>
      <c r="F10" s="6" t="s">
        <v>8</v>
      </c>
      <c r="G10" s="6" t="s">
        <v>9</v>
      </c>
      <c r="H10" s="6" t="s">
        <v>14</v>
      </c>
      <c r="I10" s="4" t="s">
        <v>10</v>
      </c>
      <c r="J10" s="4" t="s">
        <v>16</v>
      </c>
      <c r="K10" s="4" t="s">
        <v>21</v>
      </c>
      <c r="L10" s="4" t="s">
        <v>12</v>
      </c>
      <c r="M10" s="4" t="s">
        <v>13</v>
      </c>
    </row>
    <row r="11" spans="1:13" x14ac:dyDescent="0.25">
      <c r="A11" s="7" t="s">
        <v>23</v>
      </c>
      <c r="B11" s="7" t="s">
        <v>26</v>
      </c>
      <c r="C11" s="9">
        <f>$C$2/22.5*5.5</f>
        <v>4293.6666666666661</v>
      </c>
      <c r="D11" s="9">
        <f>$D$2/22.5*5.5</f>
        <v>19321.5</v>
      </c>
      <c r="E11" s="6">
        <f t="shared" ref="E11" si="4">SUM(C11:D11)</f>
        <v>23615.166666666664</v>
      </c>
      <c r="F11" s="9">
        <f>Consultores!F11</f>
        <v>2917.05</v>
      </c>
      <c r="G11" s="9">
        <f>Consultores!G11</f>
        <v>27669.83</v>
      </c>
      <c r="H11" s="6">
        <f t="shared" ref="H11" si="5">SUM(F11:G11)</f>
        <v>30586.880000000001</v>
      </c>
      <c r="I11" s="15">
        <f t="shared" ref="I11" si="6">H11/E11</f>
        <v>1.2952218560106148</v>
      </c>
      <c r="J11" s="11">
        <f>Mecânicos!H3</f>
        <v>0.17</v>
      </c>
      <c r="K11" s="15">
        <f>J11/$F$2</f>
        <v>0.42499999999999999</v>
      </c>
      <c r="L11" s="12">
        <f>Consultores!L11</f>
        <v>0.26229999999999998</v>
      </c>
      <c r="M11" s="16">
        <f>L11/$G$2</f>
        <v>0.8743333333333333</v>
      </c>
    </row>
    <row r="12" spans="1:13" x14ac:dyDescent="0.25">
      <c r="F12" s="2"/>
      <c r="G12" s="2"/>
      <c r="H12" s="3"/>
      <c r="J12" s="2"/>
    </row>
    <row r="13" spans="1:13" x14ac:dyDescent="0.25">
      <c r="A13" s="4" t="s">
        <v>0</v>
      </c>
      <c r="B13" s="4" t="s">
        <v>3</v>
      </c>
      <c r="C13" s="6" t="s">
        <v>4</v>
      </c>
      <c r="D13" s="4" t="s">
        <v>6</v>
      </c>
      <c r="E13" s="4" t="s">
        <v>14</v>
      </c>
      <c r="F13" s="6" t="s">
        <v>8</v>
      </c>
      <c r="G13" s="6" t="s">
        <v>9</v>
      </c>
      <c r="H13" s="6" t="s">
        <v>14</v>
      </c>
      <c r="I13" s="4" t="s">
        <v>10</v>
      </c>
      <c r="J13" s="4" t="s">
        <v>16</v>
      </c>
      <c r="K13" s="4" t="s">
        <v>21</v>
      </c>
      <c r="L13" s="4" t="s">
        <v>12</v>
      </c>
      <c r="M13" s="4" t="s">
        <v>13</v>
      </c>
    </row>
    <row r="14" spans="1:13" x14ac:dyDescent="0.25">
      <c r="A14" s="7" t="s">
        <v>23</v>
      </c>
      <c r="B14" s="7" t="s">
        <v>27</v>
      </c>
      <c r="C14" s="9">
        <f>$C$2/22.5*5.5</f>
        <v>4293.6666666666661</v>
      </c>
      <c r="D14" s="9">
        <f>$D$2/22.5*5.5</f>
        <v>19321.5</v>
      </c>
      <c r="E14" s="6">
        <f t="shared" ref="E14" si="7">SUM(C14:D14)</f>
        <v>23615.166666666664</v>
      </c>
      <c r="F14" s="9">
        <f>Consultores!F14</f>
        <v>5567.3</v>
      </c>
      <c r="G14" s="9">
        <f>Consultores!G14</f>
        <v>11018.13</v>
      </c>
      <c r="H14" s="6">
        <f t="shared" ref="H14" si="8">SUM(F14:G14)</f>
        <v>16585.43</v>
      </c>
      <c r="I14" s="15">
        <f t="shared" ref="I14" si="9">H14/E14</f>
        <v>0.70232110719805785</v>
      </c>
      <c r="J14" s="11">
        <v>0.29039999999999999</v>
      </c>
      <c r="K14" s="15">
        <f>J14/$F$2</f>
        <v>0.72599999999999998</v>
      </c>
      <c r="L14" s="11">
        <v>0.22470000000000001</v>
      </c>
      <c r="M14" s="16">
        <f>L14/$G$2</f>
        <v>0.74900000000000011</v>
      </c>
    </row>
    <row r="16" spans="1:13" x14ac:dyDescent="0.25">
      <c r="A16" s="4" t="s">
        <v>0</v>
      </c>
      <c r="B16" s="4" t="s">
        <v>5</v>
      </c>
      <c r="C16" s="6" t="s">
        <v>4</v>
      </c>
      <c r="D16" s="4" t="s">
        <v>6</v>
      </c>
      <c r="E16" s="4" t="s">
        <v>14</v>
      </c>
      <c r="F16" s="6" t="s">
        <v>8</v>
      </c>
      <c r="G16" s="6" t="s">
        <v>9</v>
      </c>
      <c r="H16" s="6" t="s">
        <v>14</v>
      </c>
      <c r="I16" s="4" t="s">
        <v>10</v>
      </c>
      <c r="J16" s="4" t="s">
        <v>16</v>
      </c>
      <c r="K16" s="4" t="s">
        <v>21</v>
      </c>
      <c r="L16" s="4" t="s">
        <v>12</v>
      </c>
      <c r="M16" s="4" t="s">
        <v>13</v>
      </c>
    </row>
    <row r="17" spans="1:13" x14ac:dyDescent="0.25">
      <c r="A17" s="7" t="s">
        <v>23</v>
      </c>
      <c r="B17" s="24">
        <v>46235</v>
      </c>
      <c r="C17" s="9">
        <f>+C5+C8+C11+C14</f>
        <v>17565</v>
      </c>
      <c r="D17" s="9">
        <f>+D5+D8+D11+D14</f>
        <v>79042.5</v>
      </c>
      <c r="E17" s="9">
        <f t="shared" ref="E17" si="10">SUM(C17:D17)</f>
        <v>96607.5</v>
      </c>
      <c r="F17" s="9">
        <f>+F5+F8+F11+F14</f>
        <v>14188.05</v>
      </c>
      <c r="G17" s="9">
        <f>+G5+G8+G11+G14</f>
        <v>66511.650000000009</v>
      </c>
      <c r="H17" s="9">
        <f>+H5+H8+H11+H14</f>
        <v>80699.700000000012</v>
      </c>
      <c r="I17" s="11">
        <f t="shared" ref="I17" si="11">H17/E17</f>
        <v>0.83533576585668823</v>
      </c>
      <c r="J17" s="11">
        <v>0.13739999999999999</v>
      </c>
      <c r="K17" s="15">
        <f>J17/$F$2</f>
        <v>0.34349999999999997</v>
      </c>
      <c r="L17" s="11">
        <v>0.28420000000000001</v>
      </c>
      <c r="M17" s="16">
        <f>L17/$G$2</f>
        <v>0.94733333333333336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Consultores</vt:lpstr>
      <vt:lpstr>Mecânicos</vt:lpstr>
      <vt:lpstr>Gerente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Caioba</dc:creator>
  <cp:lastModifiedBy>Grupo Caioba</cp:lastModifiedBy>
  <dcterms:created xsi:type="dcterms:W3CDTF">2026-07-17T11:42:49Z</dcterms:created>
  <dcterms:modified xsi:type="dcterms:W3CDTF">2026-09-14T13:50:24Z</dcterms:modified>
</cp:coreProperties>
</file>