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gru\Documents\Pos-Venda\Campanha\Agosto\"/>
    </mc:Choice>
  </mc:AlternateContent>
  <xr:revisionPtr revIDLastSave="0" documentId="13_ncr:1_{86052ED9-F7AC-4DCC-891B-3811F98C5428}" xr6:coauthVersionLast="47" xr6:coauthVersionMax="47" xr10:uidLastSave="{00000000-0000-0000-0000-000000000000}"/>
  <bookViews>
    <workbookView xWindow="-120" yWindow="-120" windowWidth="29040" windowHeight="15720" activeTab="2" xr2:uid="{F734D757-4ECA-4156-B62E-13869BBD4E7A}"/>
  </bookViews>
  <sheets>
    <sheet name="Consultores" sheetId="1" r:id="rId1"/>
    <sheet name="Chefe de oficina" sheetId="4" r:id="rId2"/>
    <sheet name="Mecânicos" sheetId="2" r:id="rId3"/>
    <sheet name="Gerente" sheetId="5" r:id="rId4"/>
    <sheet name="BoxExpresseAuxilia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0" i="2" l="1"/>
  <c r="J10" i="2"/>
  <c r="H10" i="2"/>
  <c r="F10" i="2"/>
  <c r="D10" i="2"/>
  <c r="K6" i="4"/>
  <c r="K7" i="4"/>
  <c r="I7" i="4"/>
  <c r="G7" i="4"/>
  <c r="E7" i="4"/>
  <c r="D14" i="5"/>
  <c r="C14" i="5"/>
  <c r="E14" i="5" s="1"/>
  <c r="D11" i="5"/>
  <c r="C11" i="5"/>
  <c r="D8" i="5"/>
  <c r="C8" i="5"/>
  <c r="D5" i="5"/>
  <c r="C5" i="5"/>
  <c r="G17" i="5"/>
  <c r="F17" i="5"/>
  <c r="G2" i="4"/>
  <c r="F2" i="4"/>
  <c r="C19" i="1"/>
  <c r="C18" i="1"/>
  <c r="D18" i="1"/>
  <c r="D19" i="1"/>
  <c r="D23" i="1" s="1"/>
  <c r="D2" i="4"/>
  <c r="C7" i="4" s="1"/>
  <c r="E2" i="4"/>
  <c r="D7" i="1"/>
  <c r="D15" i="1"/>
  <c r="C15" i="1"/>
  <c r="D14" i="1"/>
  <c r="C14" i="1"/>
  <c r="D11" i="1"/>
  <c r="C11" i="1"/>
  <c r="D10" i="1"/>
  <c r="C10" i="1"/>
  <c r="D6" i="1"/>
  <c r="C7" i="1"/>
  <c r="C6" i="1"/>
  <c r="G23" i="1"/>
  <c r="F23" i="1"/>
  <c r="G22" i="1"/>
  <c r="F22" i="1"/>
  <c r="M17" i="5"/>
  <c r="K17" i="5"/>
  <c r="K14" i="5"/>
  <c r="H14" i="5"/>
  <c r="M23" i="1"/>
  <c r="M22" i="1"/>
  <c r="K23" i="1"/>
  <c r="K22" i="1"/>
  <c r="M19" i="1"/>
  <c r="M18" i="1"/>
  <c r="K19" i="1"/>
  <c r="K18" i="1"/>
  <c r="H18" i="1"/>
  <c r="H19" i="1"/>
  <c r="M14" i="5"/>
  <c r="M11" i="5"/>
  <c r="K11" i="5"/>
  <c r="H11" i="5"/>
  <c r="M8" i="5"/>
  <c r="K8" i="5"/>
  <c r="H8" i="5"/>
  <c r="M5" i="5"/>
  <c r="K5" i="5"/>
  <c r="H5" i="5"/>
  <c r="E2" i="5"/>
  <c r="M15" i="1"/>
  <c r="M14" i="1"/>
  <c r="K15" i="1"/>
  <c r="K14" i="1"/>
  <c r="H15" i="1"/>
  <c r="H14" i="1"/>
  <c r="M11" i="1"/>
  <c r="M10" i="1"/>
  <c r="M7" i="1"/>
  <c r="M6" i="1"/>
  <c r="K11" i="1"/>
  <c r="K10" i="1"/>
  <c r="H11" i="1"/>
  <c r="H10" i="1"/>
  <c r="K7" i="1"/>
  <c r="K6" i="1"/>
  <c r="H7" i="1"/>
  <c r="H6" i="1"/>
  <c r="D3" i="1"/>
  <c r="D2" i="1"/>
  <c r="C3" i="1"/>
  <c r="C2" i="1"/>
  <c r="H23" i="1" l="1"/>
  <c r="H22" i="1"/>
  <c r="C17" i="5"/>
  <c r="E8" i="5"/>
  <c r="I8" i="5" s="1"/>
  <c r="D17" i="5"/>
  <c r="E17" i="5" s="1"/>
  <c r="I14" i="5"/>
  <c r="D22" i="1"/>
  <c r="C23" i="1"/>
  <c r="C22" i="1"/>
  <c r="E3" i="1"/>
  <c r="E2" i="1"/>
  <c r="H17" i="5"/>
  <c r="E5" i="5"/>
  <c r="I5" i="5" s="1"/>
  <c r="E11" i="5"/>
  <c r="I11" i="5" s="1"/>
  <c r="E6" i="1"/>
  <c r="I6" i="1" s="1"/>
  <c r="I17" i="5" l="1"/>
  <c r="E23" i="1"/>
  <c r="I23" i="1" s="1"/>
  <c r="E7" i="1"/>
  <c r="I7" i="1" s="1"/>
  <c r="E22" i="1"/>
  <c r="I22" i="1" s="1"/>
  <c r="E10" i="1"/>
  <c r="I10" i="1" s="1"/>
  <c r="E11" i="1"/>
  <c r="I11" i="1" s="1"/>
  <c r="E14" i="1" l="1"/>
  <c r="I14" i="1" s="1"/>
  <c r="E15" i="1"/>
  <c r="I15" i="1" s="1"/>
  <c r="E18" i="1"/>
  <c r="I18" i="1" s="1"/>
  <c r="E19" i="1" l="1"/>
  <c r="I19" i="1" s="1"/>
</calcChain>
</file>

<file path=xl/sharedStrings.xml><?xml version="1.0" encoding="utf-8"?>
<sst xmlns="http://schemas.openxmlformats.org/spreadsheetml/2006/main" count="229" uniqueCount="44">
  <si>
    <t>Partipantes</t>
  </si>
  <si>
    <t>Juliana Nunes de Almeida</t>
  </si>
  <si>
    <t>Miguel Angelo dos Santos</t>
  </si>
  <si>
    <t>Serviços Total</t>
  </si>
  <si>
    <t>Peças Total</t>
  </si>
  <si>
    <t xml:space="preserve">Semana </t>
  </si>
  <si>
    <t>Meta_Serviços</t>
  </si>
  <si>
    <t>Mês</t>
  </si>
  <si>
    <t>Meta_Peças</t>
  </si>
  <si>
    <t>Ticket_Medio</t>
  </si>
  <si>
    <t>Realizado_Serviços</t>
  </si>
  <si>
    <t>Realizado_Peças</t>
  </si>
  <si>
    <t>% Faturamento</t>
  </si>
  <si>
    <t>% Ticket</t>
  </si>
  <si>
    <t>MB Peças</t>
  </si>
  <si>
    <t>%MB Peças</t>
  </si>
  <si>
    <t>Total</t>
  </si>
  <si>
    <t>Participantes</t>
  </si>
  <si>
    <t>Ana Carla Quinot Stapazzoli</t>
  </si>
  <si>
    <t>César Oliveira Neres</t>
  </si>
  <si>
    <t>Jean Marcos Paes Pereira</t>
  </si>
  <si>
    <t>Matheus Henrique Pardo Costa</t>
  </si>
  <si>
    <t>Roberto Larson da Silva</t>
  </si>
  <si>
    <t>Talyson de Almeida Rosa</t>
  </si>
  <si>
    <t>Wesley Silvestre da Silva</t>
  </si>
  <si>
    <t>Produtividade</t>
  </si>
  <si>
    <t>Meta_Produtividade</t>
  </si>
  <si>
    <t>&lt;120%</t>
  </si>
  <si>
    <t>Meta_Eficiência</t>
  </si>
  <si>
    <t>Eficiência</t>
  </si>
  <si>
    <t>Paulo</t>
  </si>
  <si>
    <t>Total Meta</t>
  </si>
  <si>
    <r>
      <t xml:space="preserve">Bônus fixo de </t>
    </r>
    <r>
      <rPr>
        <b/>
        <sz val="11"/>
        <color theme="1"/>
        <rFont val="Calibri"/>
        <family val="2"/>
      </rPr>
      <t>600,00</t>
    </r>
    <r>
      <rPr>
        <sz val="11"/>
        <color theme="1"/>
        <rFont val="Calibri"/>
        <family val="2"/>
      </rPr>
      <t xml:space="preserve"> (120,00 por semana). Não há medição de produtividade ou supermeta. O teto é 100% do valor. A ocorrência de 1 (um) retorno procedente no mês invalida o bônus integral do colaborador</t>
    </r>
  </si>
  <si>
    <t>Participante</t>
  </si>
  <si>
    <t>Idmar dos Santos Rocha</t>
  </si>
  <si>
    <t>Faturamento</t>
  </si>
  <si>
    <t>% Produtividade</t>
  </si>
  <si>
    <t>% da meta</t>
  </si>
  <si>
    <t>01 à 08/08</t>
  </si>
  <si>
    <t>10 à 15/08</t>
  </si>
  <si>
    <t>17 à 22/08</t>
  </si>
  <si>
    <t>24 à 31/08</t>
  </si>
  <si>
    <t>24 À 31/08</t>
  </si>
  <si>
    <t>Luiz Carlos Felippsen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</si>
</sst>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4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9" fontId="0" fillId="0" borderId="1" xfId="0" applyNumberFormat="1" applyBorder="1"/>
    <xf numFmtId="9" fontId="0" fillId="0" borderId="0" xfId="0" applyNumberFormat="1"/>
    <xf numFmtId="9" fontId="0" fillId="0" borderId="1" xfId="1" applyFont="1" applyBorder="1"/>
    <xf numFmtId="10" fontId="0" fillId="0" borderId="1" xfId="1" applyNumberFormat="1" applyFont="1" applyBorder="1"/>
    <xf numFmtId="10" fontId="0" fillId="0" borderId="1" xfId="0" applyNumberFormat="1" applyBorder="1"/>
    <xf numFmtId="0" fontId="2" fillId="0" borderId="1" xfId="0" applyFont="1" applyBorder="1" applyAlignment="1">
      <alignment horizontal="center"/>
    </xf>
    <xf numFmtId="10" fontId="0" fillId="0" borderId="1" xfId="1" applyNumberFormat="1" applyFont="1" applyBorder="1" applyAlignment="1"/>
    <xf numFmtId="9" fontId="2" fillId="0" borderId="1" xfId="1" applyFont="1" applyBorder="1"/>
    <xf numFmtId="9" fontId="2" fillId="0" borderId="1" xfId="0" applyNumberFormat="1" applyFont="1" applyBorder="1"/>
    <xf numFmtId="9" fontId="2" fillId="0" borderId="0" xfId="0" applyNumberFormat="1" applyFont="1"/>
    <xf numFmtId="10" fontId="2" fillId="0" borderId="1" xfId="1" applyNumberFormat="1" applyFont="1" applyBorder="1"/>
    <xf numFmtId="10" fontId="2" fillId="0" borderId="1" xfId="0" applyNumberFormat="1" applyFont="1" applyBorder="1"/>
    <xf numFmtId="4" fontId="2" fillId="0" borderId="0" xfId="0" applyNumberFormat="1" applyFont="1"/>
    <xf numFmtId="10" fontId="1" fillId="0" borderId="1" xfId="1" applyNumberFormat="1" applyFont="1" applyBorder="1"/>
    <xf numFmtId="0" fontId="0" fillId="0" borderId="0" xfId="0" applyAlignment="1">
      <alignment horizontal="center"/>
    </xf>
    <xf numFmtId="17" fontId="0" fillId="0" borderId="1" xfId="0" applyNumberFormat="1" applyBorder="1"/>
    <xf numFmtId="10" fontId="0" fillId="0" borderId="0" xfId="1" applyNumberFormat="1" applyFont="1" applyBorder="1"/>
    <xf numFmtId="10" fontId="2" fillId="0" borderId="0" xfId="1" applyNumberFormat="1" applyFont="1" applyBorder="1"/>
    <xf numFmtId="10" fontId="0" fillId="0" borderId="0" xfId="0" applyNumberFormat="1"/>
    <xf numFmtId="10" fontId="0" fillId="0" borderId="0" xfId="1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0" borderId="4" xfId="0" applyFill="1" applyBorder="1"/>
    <xf numFmtId="10" fontId="2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02EC-A5E3-456D-B7ED-5FDCBF32F128}">
  <dimension ref="A1:M26"/>
  <sheetViews>
    <sheetView zoomScaleNormal="100" workbookViewId="0">
      <selection activeCell="C22" sqref="C22"/>
    </sheetView>
  </sheetViews>
  <sheetFormatPr defaultRowHeight="15" x14ac:dyDescent="0.25"/>
  <cols>
    <col min="1" max="1" width="31.28515625" customWidth="1"/>
    <col min="2" max="2" width="12.5703125" style="2" bestFit="1" customWidth="1"/>
    <col min="3" max="3" width="13.7109375" style="2" bestFit="1" customWidth="1"/>
    <col min="4" max="5" width="12" customWidth="1"/>
    <col min="6" max="6" width="17.5703125" customWidth="1"/>
    <col min="7" max="7" width="15.7109375" customWidth="1"/>
    <col min="8" max="8" width="11.140625" customWidth="1"/>
    <col min="9" max="9" width="13.7109375" bestFit="1" customWidth="1"/>
    <col min="10" max="11" width="14.42578125" customWidth="1"/>
    <col min="12" max="13" width="14.28515625" customWidth="1"/>
  </cols>
  <sheetData>
    <row r="1" spans="1:13" x14ac:dyDescent="0.25">
      <c r="A1" s="3" t="s">
        <v>0</v>
      </c>
      <c r="B1" s="4" t="s">
        <v>7</v>
      </c>
      <c r="C1" s="5" t="s">
        <v>3</v>
      </c>
      <c r="D1" s="5" t="s">
        <v>4</v>
      </c>
      <c r="E1" s="5" t="s">
        <v>16</v>
      </c>
      <c r="F1" s="3" t="s">
        <v>9</v>
      </c>
      <c r="G1" s="3" t="s">
        <v>14</v>
      </c>
      <c r="H1" s="1"/>
      <c r="I1" s="1"/>
      <c r="J1" s="1"/>
      <c r="K1" s="1"/>
      <c r="L1" s="1"/>
      <c r="M1" s="1"/>
    </row>
    <row r="2" spans="1:13" x14ac:dyDescent="0.25">
      <c r="A2" s="6" t="s">
        <v>1</v>
      </c>
      <c r="B2" s="7">
        <v>46235</v>
      </c>
      <c r="C2" s="8">
        <f>354054/2</f>
        <v>177027</v>
      </c>
      <c r="D2" s="8">
        <f>1416216/2</f>
        <v>708108</v>
      </c>
      <c r="E2" s="8">
        <f>SUM(C2:D2)</f>
        <v>885135</v>
      </c>
      <c r="F2" s="8">
        <v>4500</v>
      </c>
      <c r="G2" s="9">
        <v>0.3</v>
      </c>
      <c r="H2" s="10"/>
      <c r="I2" s="10"/>
    </row>
    <row r="3" spans="1:13" x14ac:dyDescent="0.25">
      <c r="A3" s="6" t="s">
        <v>2</v>
      </c>
      <c r="B3" s="7">
        <v>46235</v>
      </c>
      <c r="C3" s="8">
        <f>354054/2</f>
        <v>177027</v>
      </c>
      <c r="D3" s="8">
        <f>1416216/2</f>
        <v>708108</v>
      </c>
      <c r="E3" s="8">
        <f>SUM(C3:D3)</f>
        <v>885135</v>
      </c>
      <c r="F3" s="8">
        <v>4500</v>
      </c>
      <c r="G3" s="9">
        <v>0.3</v>
      </c>
      <c r="H3" s="10"/>
      <c r="I3" s="10"/>
    </row>
    <row r="5" spans="1:13" x14ac:dyDescent="0.25">
      <c r="A5" s="3" t="s">
        <v>0</v>
      </c>
      <c r="B5" s="3" t="s">
        <v>5</v>
      </c>
      <c r="C5" s="5" t="s">
        <v>6</v>
      </c>
      <c r="D5" s="3" t="s">
        <v>8</v>
      </c>
      <c r="E5" s="3" t="s">
        <v>16</v>
      </c>
      <c r="F5" s="5" t="s">
        <v>10</v>
      </c>
      <c r="G5" s="5" t="s">
        <v>11</v>
      </c>
      <c r="H5" s="5" t="s">
        <v>16</v>
      </c>
      <c r="I5" s="3" t="s">
        <v>12</v>
      </c>
      <c r="J5" s="3" t="s">
        <v>9</v>
      </c>
      <c r="K5" s="3" t="s">
        <v>13</v>
      </c>
      <c r="L5" s="3" t="s">
        <v>14</v>
      </c>
      <c r="M5" s="3" t="s">
        <v>15</v>
      </c>
    </row>
    <row r="6" spans="1:13" x14ac:dyDescent="0.25">
      <c r="A6" s="6" t="s">
        <v>1</v>
      </c>
      <c r="B6" s="6" t="s">
        <v>38</v>
      </c>
      <c r="C6" s="8">
        <f>$C$2/22.5*6</f>
        <v>47207.199999999997</v>
      </c>
      <c r="D6" s="8">
        <f>$D$2/22.5*6</f>
        <v>188828.79999999999</v>
      </c>
      <c r="E6" s="8">
        <f t="shared" ref="E6:E7" si="0">SUM(C6:D6)</f>
        <v>236036</v>
      </c>
      <c r="F6" s="8">
        <v>22209.88</v>
      </c>
      <c r="G6" s="8">
        <v>138988.6</v>
      </c>
      <c r="H6" s="5">
        <f>SUM(F6:G6)</f>
        <v>161198.48000000001</v>
      </c>
      <c r="I6" s="12">
        <f>H6/E6</f>
        <v>0.68294022945652366</v>
      </c>
      <c r="J6" s="8">
        <v>5970.31</v>
      </c>
      <c r="K6" s="12">
        <f>J6/$F$2</f>
        <v>1.3267355555555556</v>
      </c>
      <c r="L6" s="13">
        <v>0.33040000000000003</v>
      </c>
      <c r="M6" s="13">
        <f>L6/$G$2</f>
        <v>1.1013333333333335</v>
      </c>
    </row>
    <row r="7" spans="1:13" x14ac:dyDescent="0.25">
      <c r="A7" s="6" t="s">
        <v>2</v>
      </c>
      <c r="B7" s="6" t="s">
        <v>38</v>
      </c>
      <c r="C7" s="8">
        <f>$C$2/22.5*6</f>
        <v>47207.199999999997</v>
      </c>
      <c r="D7" s="8">
        <f>$D$2/22.5*6</f>
        <v>188828.79999999999</v>
      </c>
      <c r="E7" s="8">
        <f t="shared" si="0"/>
        <v>236036</v>
      </c>
      <c r="F7" s="8">
        <v>19047.060000000001</v>
      </c>
      <c r="G7" s="8">
        <v>54326.09</v>
      </c>
      <c r="H7" s="5">
        <f>SUM(F7:G7)</f>
        <v>73373.149999999994</v>
      </c>
      <c r="I7" s="12">
        <f>H7/E7</f>
        <v>0.3108557592909556</v>
      </c>
      <c r="J7" s="8">
        <v>2717.52</v>
      </c>
      <c r="K7" s="12">
        <f>J7/$F$3</f>
        <v>0.60389333333333328</v>
      </c>
      <c r="L7" s="13">
        <v>0.34449999999999997</v>
      </c>
      <c r="M7" s="13">
        <f>L7/$G$3</f>
        <v>1.1483333333333332</v>
      </c>
    </row>
    <row r="8" spans="1:13" x14ac:dyDescent="0.25">
      <c r="F8" s="2"/>
      <c r="G8" s="2"/>
      <c r="H8" s="2"/>
      <c r="J8" s="2"/>
    </row>
    <row r="9" spans="1:13" x14ac:dyDescent="0.25">
      <c r="A9" s="3" t="s">
        <v>0</v>
      </c>
      <c r="B9" s="3" t="s">
        <v>5</v>
      </c>
      <c r="C9" s="5" t="s">
        <v>6</v>
      </c>
      <c r="D9" s="3" t="s">
        <v>8</v>
      </c>
      <c r="E9" s="3" t="s">
        <v>16</v>
      </c>
      <c r="F9" s="5" t="s">
        <v>10</v>
      </c>
      <c r="G9" s="5" t="s">
        <v>11</v>
      </c>
      <c r="H9" s="5" t="s">
        <v>16</v>
      </c>
      <c r="I9" s="3" t="s">
        <v>12</v>
      </c>
      <c r="J9" s="5" t="s">
        <v>9</v>
      </c>
      <c r="K9" s="3" t="s">
        <v>13</v>
      </c>
      <c r="L9" s="3" t="s">
        <v>14</v>
      </c>
      <c r="M9" s="3" t="s">
        <v>15</v>
      </c>
    </row>
    <row r="10" spans="1:13" x14ac:dyDescent="0.25">
      <c r="A10" s="6" t="s">
        <v>1</v>
      </c>
      <c r="B10" s="6" t="s">
        <v>39</v>
      </c>
      <c r="C10" s="8">
        <f>$C$2/22.5*5.5</f>
        <v>43273.26666666667</v>
      </c>
      <c r="D10" s="8">
        <f>$D$2/22.5*5.5</f>
        <v>173093.06666666668</v>
      </c>
      <c r="E10" s="8">
        <f t="shared" ref="E10:E11" si="1">SUM(C10:D10)</f>
        <v>216366.33333333334</v>
      </c>
      <c r="F10" s="8">
        <v>25800.9</v>
      </c>
      <c r="G10" s="8">
        <v>74002.66</v>
      </c>
      <c r="H10" s="5">
        <f t="shared" ref="H10:H11" si="2">SUM(F10:G10)</f>
        <v>99803.56</v>
      </c>
      <c r="I10" s="12">
        <f t="shared" ref="I10:I11" si="3">H10/E10</f>
        <v>0.46127120824404289</v>
      </c>
      <c r="J10" s="8">
        <v>2559.0700000000002</v>
      </c>
      <c r="K10" s="12">
        <f t="shared" ref="K10:K11" si="4">J10/$F$3</f>
        <v>0.56868222222222231</v>
      </c>
      <c r="L10" s="12">
        <v>0.3019</v>
      </c>
      <c r="M10" s="13">
        <f>L10/$G$2</f>
        <v>1.0063333333333333</v>
      </c>
    </row>
    <row r="11" spans="1:13" x14ac:dyDescent="0.25">
      <c r="A11" s="6" t="s">
        <v>2</v>
      </c>
      <c r="B11" s="6" t="s">
        <v>39</v>
      </c>
      <c r="C11" s="8">
        <f>$C$3/22.5*5.5</f>
        <v>43273.26666666667</v>
      </c>
      <c r="D11" s="8">
        <f>$D$3/22.5*5.5</f>
        <v>173093.06666666668</v>
      </c>
      <c r="E11" s="8">
        <f t="shared" si="1"/>
        <v>216366.33333333334</v>
      </c>
      <c r="F11" s="8">
        <v>36086.85</v>
      </c>
      <c r="G11" s="8">
        <v>61052.81</v>
      </c>
      <c r="H11" s="5">
        <f t="shared" si="2"/>
        <v>97139.66</v>
      </c>
      <c r="I11" s="12">
        <f t="shared" si="3"/>
        <v>0.4489592188556753</v>
      </c>
      <c r="J11" s="8">
        <v>3597.77</v>
      </c>
      <c r="K11" s="12">
        <f t="shared" si="4"/>
        <v>0.79950444444444446</v>
      </c>
      <c r="L11" s="12">
        <v>0.33460000000000001</v>
      </c>
      <c r="M11" s="13">
        <f>L11/$G$3</f>
        <v>1.1153333333333335</v>
      </c>
    </row>
    <row r="12" spans="1:13" x14ac:dyDescent="0.25">
      <c r="E12" s="3" t="s">
        <v>16</v>
      </c>
      <c r="F12" s="2"/>
      <c r="G12" s="2"/>
      <c r="H12" s="2"/>
      <c r="J12" s="2"/>
    </row>
    <row r="13" spans="1:13" x14ac:dyDescent="0.25">
      <c r="A13" s="3" t="s">
        <v>0</v>
      </c>
      <c r="B13" s="3" t="s">
        <v>5</v>
      </c>
      <c r="C13" s="5" t="s">
        <v>6</v>
      </c>
      <c r="D13" s="3" t="s">
        <v>8</v>
      </c>
      <c r="E13" s="3"/>
      <c r="F13" s="5" t="s">
        <v>10</v>
      </c>
      <c r="G13" s="5" t="s">
        <v>11</v>
      </c>
      <c r="H13" s="5" t="s">
        <v>16</v>
      </c>
      <c r="I13" s="3" t="s">
        <v>12</v>
      </c>
      <c r="J13" s="5" t="s">
        <v>9</v>
      </c>
      <c r="K13" s="3" t="s">
        <v>13</v>
      </c>
      <c r="L13" s="3" t="s">
        <v>14</v>
      </c>
      <c r="M13" s="3" t="s">
        <v>15</v>
      </c>
    </row>
    <row r="14" spans="1:13" x14ac:dyDescent="0.25">
      <c r="A14" s="6" t="s">
        <v>1</v>
      </c>
      <c r="B14" s="6" t="s">
        <v>40</v>
      </c>
      <c r="C14" s="8">
        <f>$C$2/22.5*5.5</f>
        <v>43273.26666666667</v>
      </c>
      <c r="D14" s="8">
        <f>$D$2/22.5*5.5</f>
        <v>173093.06666666668</v>
      </c>
      <c r="E14" s="8">
        <f t="shared" ref="E14:E15" si="5">SUM(C14:D14)</f>
        <v>216366.33333333334</v>
      </c>
      <c r="F14" s="8">
        <v>63553.279999999999</v>
      </c>
      <c r="G14" s="8">
        <v>319124.95</v>
      </c>
      <c r="H14" s="5">
        <f t="shared" ref="H14:H15" si="6">SUM(F14:G14)</f>
        <v>382678.23</v>
      </c>
      <c r="I14" s="12">
        <f t="shared" ref="I14:I15" si="7">H14/E14</f>
        <v>1.7686588486502057</v>
      </c>
      <c r="J14" s="8">
        <v>5627.62</v>
      </c>
      <c r="K14" s="12">
        <f t="shared" ref="K14:K15" si="8">J14/$F$3</f>
        <v>1.2505822222222223</v>
      </c>
      <c r="L14" s="12">
        <v>0.2402</v>
      </c>
      <c r="M14" s="13">
        <f>L14/$G$3</f>
        <v>0.80066666666666664</v>
      </c>
    </row>
    <row r="15" spans="1:13" x14ac:dyDescent="0.25">
      <c r="A15" s="6" t="s">
        <v>2</v>
      </c>
      <c r="B15" s="6" t="s">
        <v>40</v>
      </c>
      <c r="C15" s="8">
        <f>$C$3/22.5*5.5</f>
        <v>43273.26666666667</v>
      </c>
      <c r="D15" s="8">
        <f>$D$3/22.5*5.5</f>
        <v>173093.06666666668</v>
      </c>
      <c r="E15" s="8">
        <f t="shared" si="5"/>
        <v>216366.33333333334</v>
      </c>
      <c r="F15" s="8">
        <v>29795.9</v>
      </c>
      <c r="G15" s="8">
        <v>81931.47</v>
      </c>
      <c r="H15" s="5">
        <f t="shared" si="6"/>
        <v>111727.37</v>
      </c>
      <c r="I15" s="12">
        <f t="shared" si="7"/>
        <v>0.51638056752513861</v>
      </c>
      <c r="J15" s="8">
        <v>2940.19</v>
      </c>
      <c r="K15" s="12">
        <f t="shared" si="8"/>
        <v>0.6533755555555556</v>
      </c>
      <c r="L15" s="12">
        <v>0.25990000000000002</v>
      </c>
      <c r="M15" s="13">
        <f>L15/$G$3</f>
        <v>0.8663333333333334</v>
      </c>
    </row>
    <row r="16" spans="1:13" x14ac:dyDescent="0.25">
      <c r="F16" s="2"/>
      <c r="G16" s="2"/>
      <c r="H16" s="2"/>
      <c r="J16" s="2"/>
    </row>
    <row r="17" spans="1:13" x14ac:dyDescent="0.25">
      <c r="A17" s="3" t="s">
        <v>0</v>
      </c>
      <c r="B17" s="3" t="s">
        <v>5</v>
      </c>
      <c r="C17" s="5" t="s">
        <v>6</v>
      </c>
      <c r="D17" s="3" t="s">
        <v>8</v>
      </c>
      <c r="E17" s="3" t="s">
        <v>16</v>
      </c>
      <c r="F17" s="5" t="s">
        <v>10</v>
      </c>
      <c r="G17" s="5" t="s">
        <v>11</v>
      </c>
      <c r="H17" s="5" t="s">
        <v>16</v>
      </c>
      <c r="I17" s="3" t="s">
        <v>12</v>
      </c>
      <c r="J17" s="5" t="s">
        <v>9</v>
      </c>
      <c r="K17" s="3" t="s">
        <v>13</v>
      </c>
      <c r="L17" s="3" t="s">
        <v>14</v>
      </c>
      <c r="M17" s="3" t="s">
        <v>15</v>
      </c>
    </row>
    <row r="18" spans="1:13" x14ac:dyDescent="0.25">
      <c r="A18" s="6" t="s">
        <v>1</v>
      </c>
      <c r="B18" s="6" t="s">
        <v>41</v>
      </c>
      <c r="C18" s="8">
        <f>$C$2/22.5*5.5</f>
        <v>43273.26666666667</v>
      </c>
      <c r="D18" s="8">
        <f>$D$3/22.5*5.5</f>
        <v>173093.06666666668</v>
      </c>
      <c r="E18" s="8">
        <f t="shared" ref="E18:E19" si="9">SUM(C18:D18)</f>
        <v>216366.33333333334</v>
      </c>
      <c r="F18" s="8">
        <v>69361.37</v>
      </c>
      <c r="G18" s="8">
        <v>254805.36</v>
      </c>
      <c r="H18" s="5">
        <f t="shared" ref="H18:H19" si="10">SUM(F18:G18)</f>
        <v>324166.73</v>
      </c>
      <c r="I18" s="12">
        <f t="shared" ref="I18:I19" si="11">H18/E18</f>
        <v>1.4982309170095778</v>
      </c>
      <c r="J18" s="8">
        <v>4630.95</v>
      </c>
      <c r="K18" s="12">
        <f t="shared" ref="K18:K19" si="12">J18/$F$3</f>
        <v>1.0290999999999999</v>
      </c>
      <c r="L18" s="19">
        <v>0.21440000000000001</v>
      </c>
      <c r="M18" s="13">
        <f t="shared" ref="M18:M19" si="13">L18/$G$3</f>
        <v>0.71466666666666667</v>
      </c>
    </row>
    <row r="19" spans="1:13" x14ac:dyDescent="0.25">
      <c r="A19" s="6" t="s">
        <v>2</v>
      </c>
      <c r="B19" s="6" t="s">
        <v>41</v>
      </c>
      <c r="C19" s="8">
        <f>$C$2/22.5*5.5</f>
        <v>43273.26666666667</v>
      </c>
      <c r="D19" s="8">
        <f>$D$3/22.5*5.5</f>
        <v>173093.06666666668</v>
      </c>
      <c r="E19" s="8">
        <f t="shared" si="9"/>
        <v>216366.33333333334</v>
      </c>
      <c r="F19" s="8">
        <v>20777.2</v>
      </c>
      <c r="G19" s="8">
        <v>87953.1</v>
      </c>
      <c r="H19" s="5">
        <f t="shared" si="10"/>
        <v>108730.3</v>
      </c>
      <c r="I19" s="12">
        <f t="shared" si="11"/>
        <v>0.50252873598634418</v>
      </c>
      <c r="J19" s="8">
        <v>4530.43</v>
      </c>
      <c r="K19" s="12">
        <f t="shared" si="12"/>
        <v>1.0067622222222223</v>
      </c>
      <c r="L19" s="19">
        <v>0.18490000000000001</v>
      </c>
      <c r="M19" s="13">
        <f t="shared" si="13"/>
        <v>0.6163333333333334</v>
      </c>
    </row>
    <row r="20" spans="1:13" x14ac:dyDescent="0.25">
      <c r="B20"/>
      <c r="D20" s="2"/>
      <c r="E20" s="2"/>
      <c r="F20" s="2"/>
      <c r="G20" s="2"/>
      <c r="H20" s="21"/>
      <c r="I20" s="25"/>
      <c r="J20" s="2"/>
      <c r="K20" s="25"/>
      <c r="L20" s="26"/>
      <c r="M20" s="27"/>
    </row>
    <row r="21" spans="1:13" x14ac:dyDescent="0.25">
      <c r="A21" s="3" t="s">
        <v>0</v>
      </c>
      <c r="B21" s="3" t="s">
        <v>7</v>
      </c>
      <c r="C21" s="5" t="s">
        <v>6</v>
      </c>
      <c r="D21" s="3" t="s">
        <v>8</v>
      </c>
      <c r="E21" s="3" t="s">
        <v>16</v>
      </c>
      <c r="F21" s="5" t="s">
        <v>10</v>
      </c>
      <c r="G21" s="5" t="s">
        <v>11</v>
      </c>
      <c r="H21" s="5" t="s">
        <v>16</v>
      </c>
      <c r="I21" s="3" t="s">
        <v>12</v>
      </c>
      <c r="J21" s="5" t="s">
        <v>9</v>
      </c>
      <c r="K21" s="3" t="s">
        <v>13</v>
      </c>
      <c r="L21" s="3" t="s">
        <v>14</v>
      </c>
      <c r="M21" s="3" t="s">
        <v>15</v>
      </c>
    </row>
    <row r="22" spans="1:13" x14ac:dyDescent="0.25">
      <c r="A22" s="6" t="s">
        <v>1</v>
      </c>
      <c r="B22" s="24">
        <v>46235</v>
      </c>
      <c r="C22" s="8">
        <f>C6+C10+C14+C18</f>
        <v>177027</v>
      </c>
      <c r="D22" s="8">
        <f>D6+D10+D14+D18</f>
        <v>708108</v>
      </c>
      <c r="E22" s="8">
        <f t="shared" ref="E22:E23" si="14">SUM(C22:D22)</f>
        <v>885135</v>
      </c>
      <c r="F22" s="8">
        <f t="shared" ref="F22:H23" si="15">F6+F10+F14+F18</f>
        <v>180925.43</v>
      </c>
      <c r="G22" s="8">
        <f t="shared" si="15"/>
        <v>786921.57</v>
      </c>
      <c r="H22" s="8">
        <f t="shared" si="15"/>
        <v>967847</v>
      </c>
      <c r="I22" s="12">
        <f t="shared" ref="I22:I23" si="16">H22/E22</f>
        <v>1.0934456325871196</v>
      </c>
      <c r="J22" s="8">
        <v>5970.31</v>
      </c>
      <c r="K22" s="12">
        <f t="shared" ref="K22:K23" si="17">J22/$F$3</f>
        <v>1.3267355555555556</v>
      </c>
      <c r="L22" s="19">
        <v>0.25380000000000003</v>
      </c>
      <c r="M22" s="13">
        <f t="shared" ref="M22:M23" si="18">L22/$G$3</f>
        <v>0.84600000000000009</v>
      </c>
    </row>
    <row r="23" spans="1:13" x14ac:dyDescent="0.25">
      <c r="A23" s="6" t="s">
        <v>2</v>
      </c>
      <c r="B23" s="24">
        <v>46235</v>
      </c>
      <c r="C23" s="8">
        <f>C7+C11+C15+C19</f>
        <v>177027</v>
      </c>
      <c r="D23" s="8">
        <f>D7+D11+D15+D19</f>
        <v>708108</v>
      </c>
      <c r="E23" s="8">
        <f t="shared" si="14"/>
        <v>885135</v>
      </c>
      <c r="F23" s="8">
        <f t="shared" si="15"/>
        <v>105707.01</v>
      </c>
      <c r="G23" s="8">
        <f t="shared" si="15"/>
        <v>285263.46999999997</v>
      </c>
      <c r="H23" s="8">
        <f t="shared" si="15"/>
        <v>390970.48</v>
      </c>
      <c r="I23" s="12">
        <f t="shared" si="16"/>
        <v>0.44170717461178238</v>
      </c>
      <c r="J23" s="8">
        <v>2717.52</v>
      </c>
      <c r="K23" s="12">
        <f t="shared" si="17"/>
        <v>0.60389333333333328</v>
      </c>
      <c r="L23" s="19">
        <v>0.26840000000000003</v>
      </c>
      <c r="M23" s="13">
        <f t="shared" si="18"/>
        <v>0.89466666666666683</v>
      </c>
    </row>
    <row r="26" spans="1:13" x14ac:dyDescent="0.25">
      <c r="I26" s="1"/>
    </row>
  </sheetData>
  <pageMargins left="0.511811024" right="0.511811024" top="0.78740157499999996" bottom="0.78740157499999996" header="0.31496062000000002" footer="0.31496062000000002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4AF7-D37B-49FE-97D5-EC4C363F6486}">
  <dimension ref="A1:K7"/>
  <sheetViews>
    <sheetView zoomScaleNormal="100" workbookViewId="0">
      <selection activeCell="G19" sqref="G19"/>
    </sheetView>
  </sheetViews>
  <sheetFormatPr defaultRowHeight="15" x14ac:dyDescent="0.25"/>
  <cols>
    <col min="1" max="1" width="22.140625" customWidth="1"/>
    <col min="2" max="2" width="13.28515625" customWidth="1"/>
    <col min="3" max="3" width="12.28515625" style="2" customWidth="1"/>
    <col min="4" max="4" width="11.140625" customWidth="1"/>
    <col min="5" max="5" width="11.28515625" customWidth="1"/>
    <col min="6" max="6" width="10.7109375" customWidth="1"/>
    <col min="7" max="7" width="9.85546875" customWidth="1"/>
    <col min="8" max="8" width="11.5703125" customWidth="1"/>
    <col min="9" max="9" width="11.140625" customWidth="1"/>
    <col min="10" max="10" width="10.140625" bestFit="1" customWidth="1"/>
    <col min="11" max="11" width="11.140625" customWidth="1"/>
  </cols>
  <sheetData>
    <row r="1" spans="1:11" x14ac:dyDescent="0.25">
      <c r="A1" s="3" t="s">
        <v>33</v>
      </c>
      <c r="B1" s="3" t="s">
        <v>25</v>
      </c>
      <c r="C1" s="5" t="s">
        <v>35</v>
      </c>
      <c r="D1" s="3" t="s">
        <v>38</v>
      </c>
      <c r="E1" s="3" t="s">
        <v>39</v>
      </c>
      <c r="F1" s="3" t="s">
        <v>40</v>
      </c>
      <c r="G1" s="3" t="s">
        <v>41</v>
      </c>
      <c r="H1" s="3"/>
    </row>
    <row r="2" spans="1:11" x14ac:dyDescent="0.25">
      <c r="A2" s="6" t="s">
        <v>34</v>
      </c>
      <c r="B2" s="9">
        <v>0.6</v>
      </c>
      <c r="C2" s="8">
        <v>354054</v>
      </c>
      <c r="D2" s="8">
        <f>$C$2/22.5*6</f>
        <v>94414.399999999994</v>
      </c>
      <c r="E2" s="8">
        <f>$C$2/22.5*5.5</f>
        <v>86546.53333333334</v>
      </c>
      <c r="F2" s="8">
        <f>$C$2/22.5*5.5</f>
        <v>86546.53333333334</v>
      </c>
      <c r="G2" s="8">
        <f>$C$2/22.5*5.5</f>
        <v>86546.53333333334</v>
      </c>
      <c r="H2" s="8"/>
    </row>
    <row r="3" spans="1:11" x14ac:dyDescent="0.25">
      <c r="B3" s="10"/>
      <c r="D3" s="2"/>
      <c r="E3" s="2"/>
      <c r="F3" s="2"/>
      <c r="G3" s="2"/>
      <c r="H3" s="2"/>
    </row>
    <row r="4" spans="1:11" ht="15" customHeight="1" x14ac:dyDescent="0.25">
      <c r="B4" s="10"/>
    </row>
    <row r="5" spans="1:11" s="23" customFormat="1" x14ac:dyDescent="0.25">
      <c r="A5" s="14"/>
      <c r="B5" s="3" t="s">
        <v>38</v>
      </c>
      <c r="C5" s="14" t="s">
        <v>37</v>
      </c>
      <c r="D5" s="3" t="s">
        <v>39</v>
      </c>
      <c r="E5" s="14" t="s">
        <v>37</v>
      </c>
      <c r="F5" s="3" t="s">
        <v>40</v>
      </c>
      <c r="G5" s="14" t="s">
        <v>37</v>
      </c>
      <c r="H5" s="3" t="s">
        <v>41</v>
      </c>
      <c r="I5" s="14" t="s">
        <v>37</v>
      </c>
      <c r="J5" s="3" t="s">
        <v>16</v>
      </c>
      <c r="K5" s="14" t="s">
        <v>37</v>
      </c>
    </row>
    <row r="6" spans="1:11" x14ac:dyDescent="0.25">
      <c r="A6" s="3" t="s">
        <v>25</v>
      </c>
      <c r="B6" s="13">
        <v>0.30080000000000001</v>
      </c>
      <c r="C6" s="8"/>
      <c r="D6" s="13">
        <v>0.55220000000000002</v>
      </c>
      <c r="E6" s="12"/>
      <c r="F6" s="13">
        <v>0.95479999999999998</v>
      </c>
      <c r="G6" s="8"/>
      <c r="H6" s="13">
        <v>0.85329999999999995</v>
      </c>
      <c r="I6" s="8"/>
      <c r="J6" s="27">
        <v>0.73319999999999996</v>
      </c>
      <c r="K6" s="28">
        <f>J6/B2</f>
        <v>1.222</v>
      </c>
    </row>
    <row r="7" spans="1:11" ht="13.9" customHeight="1" x14ac:dyDescent="0.25">
      <c r="A7" s="3" t="s">
        <v>35</v>
      </c>
      <c r="B7" s="8">
        <v>41256.94</v>
      </c>
      <c r="C7" s="15">
        <f>B7/D2</f>
        <v>0.43697719839346544</v>
      </c>
      <c r="D7" s="8">
        <v>62893.95</v>
      </c>
      <c r="E7" s="15">
        <f>D7/E2</f>
        <v>0.72670675043406308</v>
      </c>
      <c r="F7" s="8">
        <v>93349.18</v>
      </c>
      <c r="G7" s="15">
        <f>F7/F2</f>
        <v>1.0786010300431828</v>
      </c>
      <c r="H7" s="8">
        <v>96729.57</v>
      </c>
      <c r="I7" s="12">
        <f>H7/G2</f>
        <v>1.1176596713290268</v>
      </c>
      <c r="J7" s="8">
        <v>300037.74</v>
      </c>
      <c r="K7" s="12">
        <f>J7/C2</f>
        <v>0.84743496754732328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80AB-76F4-4A7D-8755-CC9D2B9A40F5}">
  <dimension ref="A1:M10"/>
  <sheetViews>
    <sheetView tabSelected="1" zoomScaleNormal="100" workbookViewId="0">
      <selection activeCell="D10" sqref="D10"/>
    </sheetView>
  </sheetViews>
  <sheetFormatPr defaultColWidth="10.42578125" defaultRowHeight="15" x14ac:dyDescent="0.25"/>
  <cols>
    <col min="1" max="1" width="26.28515625" bestFit="1" customWidth="1"/>
    <col min="2" max="2" width="17.85546875" bestFit="1" customWidth="1"/>
    <col min="3" max="3" width="14.28515625" customWidth="1"/>
    <col min="4" max="4" width="12.7109375" bestFit="1" customWidth="1"/>
    <col min="5" max="5" width="11.28515625" customWidth="1"/>
    <col min="6" max="6" width="12.7109375" customWidth="1"/>
    <col min="8" max="8" width="12" customWidth="1"/>
    <col min="10" max="10" width="13.5703125" customWidth="1"/>
    <col min="12" max="12" width="12.7109375" bestFit="1" customWidth="1"/>
    <col min="13" max="13" width="13.140625" customWidth="1"/>
  </cols>
  <sheetData>
    <row r="1" spans="1:13" x14ac:dyDescent="0.25">
      <c r="A1" s="29" t="s">
        <v>17</v>
      </c>
      <c r="B1" s="29" t="s">
        <v>26</v>
      </c>
      <c r="C1" s="29" t="s">
        <v>28</v>
      </c>
      <c r="D1" s="30" t="s">
        <v>38</v>
      </c>
      <c r="E1" s="31"/>
      <c r="F1" s="30" t="s">
        <v>39</v>
      </c>
      <c r="G1" s="31"/>
      <c r="H1" s="30" t="s">
        <v>40</v>
      </c>
      <c r="I1" s="31"/>
      <c r="J1" s="30" t="s">
        <v>41</v>
      </c>
      <c r="K1" s="31"/>
      <c r="L1" s="29" t="s">
        <v>16</v>
      </c>
      <c r="M1" s="29"/>
    </row>
    <row r="2" spans="1:13" x14ac:dyDescent="0.25">
      <c r="A2" s="29"/>
      <c r="B2" s="29"/>
      <c r="C2" s="29"/>
      <c r="D2" s="14" t="s">
        <v>25</v>
      </c>
      <c r="E2" s="14" t="s">
        <v>29</v>
      </c>
      <c r="F2" s="14" t="s">
        <v>25</v>
      </c>
      <c r="G2" s="14" t="s">
        <v>29</v>
      </c>
      <c r="H2" s="14" t="s">
        <v>25</v>
      </c>
      <c r="I2" s="14" t="s">
        <v>29</v>
      </c>
      <c r="J2" s="14" t="s">
        <v>25</v>
      </c>
      <c r="K2" s="14" t="s">
        <v>29</v>
      </c>
      <c r="L2" s="14" t="s">
        <v>25</v>
      </c>
      <c r="M2" s="14" t="s">
        <v>29</v>
      </c>
    </row>
    <row r="3" spans="1:13" x14ac:dyDescent="0.25">
      <c r="A3" s="6" t="s">
        <v>18</v>
      </c>
      <c r="B3" s="9">
        <v>0.6</v>
      </c>
      <c r="C3" s="6" t="s">
        <v>27</v>
      </c>
      <c r="D3" s="19">
        <v>0.20830000000000001</v>
      </c>
      <c r="E3" s="12">
        <v>0.39860000000000001</v>
      </c>
      <c r="F3" s="19">
        <v>0.19800000000000001</v>
      </c>
      <c r="G3" s="12">
        <v>0.60319999999999996</v>
      </c>
      <c r="H3" s="19">
        <v>0.68020000000000003</v>
      </c>
      <c r="I3" s="12">
        <v>0.72770000000000001</v>
      </c>
      <c r="J3" s="19">
        <v>1.3691</v>
      </c>
      <c r="K3" s="12">
        <v>1.2927</v>
      </c>
      <c r="L3" s="19">
        <v>0.60660000000000003</v>
      </c>
      <c r="M3" s="12">
        <v>0.84770000000000001</v>
      </c>
    </row>
    <row r="4" spans="1:13" x14ac:dyDescent="0.25">
      <c r="A4" s="6" t="s">
        <v>19</v>
      </c>
      <c r="B4" s="9">
        <v>0.6</v>
      </c>
      <c r="C4" s="6" t="s">
        <v>27</v>
      </c>
      <c r="D4" s="19">
        <v>0.1802</v>
      </c>
      <c r="E4" s="12">
        <v>0.56279999999999997</v>
      </c>
      <c r="F4" s="19">
        <v>0.54479999999999995</v>
      </c>
      <c r="G4" s="12">
        <v>0.56999999999999995</v>
      </c>
      <c r="H4" s="19">
        <v>1.2330000000000001</v>
      </c>
      <c r="I4" s="12">
        <v>1.1692</v>
      </c>
      <c r="J4" s="19">
        <v>0.41299999999999998</v>
      </c>
      <c r="K4" s="12">
        <v>1.161</v>
      </c>
      <c r="L4" s="19">
        <v>0.63229999999999997</v>
      </c>
      <c r="M4" s="12">
        <v>0.88980000000000004</v>
      </c>
    </row>
    <row r="5" spans="1:13" x14ac:dyDescent="0.25">
      <c r="A5" s="6" t="s">
        <v>20</v>
      </c>
      <c r="B5" s="9">
        <v>0.6</v>
      </c>
      <c r="C5" s="6" t="s">
        <v>27</v>
      </c>
      <c r="D5" s="19">
        <v>0.375</v>
      </c>
      <c r="E5" s="12">
        <v>0.46110000000000001</v>
      </c>
      <c r="F5" s="19">
        <v>0.42109999999999997</v>
      </c>
      <c r="G5" s="12">
        <v>0.89949999999999997</v>
      </c>
      <c r="H5" s="19">
        <v>0.70820000000000005</v>
      </c>
      <c r="I5" s="12">
        <v>0.65490000000000004</v>
      </c>
      <c r="J5" s="19">
        <v>1.2441</v>
      </c>
      <c r="K5" s="12">
        <v>1.7692000000000001</v>
      </c>
      <c r="L5" s="19">
        <v>0.7127</v>
      </c>
      <c r="M5" s="12">
        <v>0.90239999999999998</v>
      </c>
    </row>
    <row r="6" spans="1:13" x14ac:dyDescent="0.25">
      <c r="A6" s="6" t="s">
        <v>21</v>
      </c>
      <c r="B6" s="9">
        <v>0.6</v>
      </c>
      <c r="C6" s="6" t="s">
        <v>27</v>
      </c>
      <c r="D6" s="19">
        <v>0.2167</v>
      </c>
      <c r="E6" s="12">
        <v>0.97740000000000005</v>
      </c>
      <c r="F6" s="19">
        <v>0.61270000000000002</v>
      </c>
      <c r="G6" s="12">
        <v>0.61270000000000002</v>
      </c>
      <c r="H6" s="19">
        <v>0.64039999999999997</v>
      </c>
      <c r="I6" s="12">
        <v>0.64039999999999997</v>
      </c>
      <c r="J6" s="12">
        <v>0.3518</v>
      </c>
      <c r="K6" s="12">
        <v>0.84409999999999996</v>
      </c>
      <c r="L6" s="19">
        <v>0.33179999999999998</v>
      </c>
      <c r="M6" s="12">
        <v>0.87970000000000004</v>
      </c>
    </row>
    <row r="7" spans="1:13" x14ac:dyDescent="0.25">
      <c r="A7" s="6" t="s">
        <v>22</v>
      </c>
      <c r="B7" s="9">
        <v>0.6</v>
      </c>
      <c r="C7" s="6" t="s">
        <v>27</v>
      </c>
      <c r="D7" s="19">
        <v>0.1208</v>
      </c>
      <c r="E7" s="12">
        <v>0.54979999999999996</v>
      </c>
      <c r="F7" s="19">
        <v>0.307</v>
      </c>
      <c r="G7" s="12">
        <v>0.307</v>
      </c>
      <c r="H7" s="19">
        <v>1.7629999999999999</v>
      </c>
      <c r="I7" s="12">
        <v>1.7629999999999999</v>
      </c>
      <c r="J7" s="19">
        <v>2.0034000000000001</v>
      </c>
      <c r="K7" s="12">
        <v>0.93940000000000001</v>
      </c>
      <c r="L7" s="19">
        <v>1.0547</v>
      </c>
      <c r="M7" s="12">
        <v>1.1684000000000001</v>
      </c>
    </row>
    <row r="8" spans="1:13" x14ac:dyDescent="0.25">
      <c r="A8" s="6" t="s">
        <v>23</v>
      </c>
      <c r="B8" s="9">
        <v>0.6</v>
      </c>
      <c r="C8" s="6" t="s">
        <v>27</v>
      </c>
      <c r="D8" s="19">
        <v>0.57499999999999996</v>
      </c>
      <c r="E8" s="12">
        <v>0.79200000000000004</v>
      </c>
      <c r="F8" s="12">
        <v>0.85429999999999995</v>
      </c>
      <c r="G8" s="12">
        <v>0.85429999999999995</v>
      </c>
      <c r="H8" s="12">
        <v>0.94989999999999997</v>
      </c>
      <c r="I8" s="12">
        <v>0.94989999999999997</v>
      </c>
      <c r="J8" s="19">
        <v>0.52639999999999998</v>
      </c>
      <c r="K8" s="12">
        <v>0.77380000000000004</v>
      </c>
      <c r="L8" s="19">
        <v>0.67420000000000002</v>
      </c>
      <c r="M8" s="12">
        <v>0.94530000000000003</v>
      </c>
    </row>
    <row r="9" spans="1:13" x14ac:dyDescent="0.25">
      <c r="A9" s="6" t="s">
        <v>24</v>
      </c>
      <c r="B9" s="9">
        <v>0.6</v>
      </c>
      <c r="C9" s="6" t="s">
        <v>27</v>
      </c>
      <c r="D9" s="19">
        <v>0.4083</v>
      </c>
      <c r="E9" s="12">
        <v>0.82909999999999995</v>
      </c>
      <c r="F9" s="19">
        <v>0.38700000000000001</v>
      </c>
      <c r="G9" s="12">
        <v>0.38700000000000001</v>
      </c>
      <c r="H9" s="19">
        <v>1.7518</v>
      </c>
      <c r="I9" s="12">
        <v>1.0293000000000001</v>
      </c>
      <c r="J9" s="19">
        <v>0.70950000000000002</v>
      </c>
      <c r="K9" s="12">
        <v>1.1349</v>
      </c>
      <c r="L9" s="19">
        <v>0.83630000000000004</v>
      </c>
      <c r="M9" s="12">
        <v>0.95660000000000001</v>
      </c>
    </row>
    <row r="10" spans="1:13" x14ac:dyDescent="0.25">
      <c r="A10" s="33" t="s">
        <v>43</v>
      </c>
      <c r="B10" s="10">
        <v>0.6</v>
      </c>
      <c r="D10" s="34">
        <f>27.35/48</f>
        <v>0.5697916666666667</v>
      </c>
      <c r="F10" s="34">
        <f>19.16/44</f>
        <v>0.43545454545454548</v>
      </c>
      <c r="H10" s="34">
        <f>11.55/44</f>
        <v>0.26250000000000001</v>
      </c>
      <c r="J10" s="34">
        <f>17/44</f>
        <v>0.38636363636363635</v>
      </c>
      <c r="L10" s="34">
        <f>75.06/180</f>
        <v>0.41700000000000004</v>
      </c>
    </row>
  </sheetData>
  <mergeCells count="8">
    <mergeCell ref="A1:A2"/>
    <mergeCell ref="B1:B2"/>
    <mergeCell ref="C1:C2"/>
    <mergeCell ref="D1:E1"/>
    <mergeCell ref="L1:M1"/>
    <mergeCell ref="F1:G1"/>
    <mergeCell ref="H1:I1"/>
    <mergeCell ref="J1:K1"/>
  </mergeCells>
  <pageMargins left="0.511811024" right="0.511811024" top="0.78740157499999996" bottom="0.78740157499999996" header="0.31496062000000002" footer="0.31496062000000002"/>
  <pageSetup paperSize="9" scale="89" orientation="landscape" r:id="rId1"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9A97-9D40-453C-A43E-266A3C69DA72}">
  <dimension ref="A1:M17"/>
  <sheetViews>
    <sheetView zoomScaleNormal="100" workbookViewId="0">
      <selection activeCell="L17" sqref="L17"/>
    </sheetView>
  </sheetViews>
  <sheetFormatPr defaultRowHeight="15" x14ac:dyDescent="0.25"/>
  <cols>
    <col min="1" max="1" width="31.28515625" customWidth="1"/>
    <col min="2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7109375" style="1" bestFit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3" t="s">
        <v>0</v>
      </c>
      <c r="B1" s="4" t="s">
        <v>7</v>
      </c>
      <c r="C1" s="5" t="s">
        <v>3</v>
      </c>
      <c r="D1" s="5" t="s">
        <v>4</v>
      </c>
      <c r="E1" s="5" t="s">
        <v>16</v>
      </c>
      <c r="F1" s="3" t="s">
        <v>25</v>
      </c>
      <c r="G1" s="3" t="s">
        <v>14</v>
      </c>
      <c r="J1" s="1"/>
      <c r="L1" s="1"/>
    </row>
    <row r="2" spans="1:13" x14ac:dyDescent="0.25">
      <c r="A2" s="6"/>
      <c r="B2" s="7">
        <v>46204</v>
      </c>
      <c r="C2" s="8">
        <v>354054</v>
      </c>
      <c r="D2" s="8">
        <v>1416216</v>
      </c>
      <c r="E2" s="5">
        <f>SUM(C2:D2)</f>
        <v>1770270</v>
      </c>
      <c r="F2" s="16">
        <v>0.6</v>
      </c>
      <c r="G2" s="17">
        <v>0.3</v>
      </c>
      <c r="H2" s="18"/>
      <c r="I2" s="18"/>
    </row>
    <row r="4" spans="1:13" x14ac:dyDescent="0.25">
      <c r="A4" s="3" t="s">
        <v>0</v>
      </c>
      <c r="B4" s="3" t="s">
        <v>5</v>
      </c>
      <c r="C4" s="5" t="s">
        <v>6</v>
      </c>
      <c r="D4" s="3" t="s">
        <v>8</v>
      </c>
      <c r="E4" s="3" t="s">
        <v>16</v>
      </c>
      <c r="F4" s="5" t="s">
        <v>10</v>
      </c>
      <c r="G4" s="5" t="s">
        <v>11</v>
      </c>
      <c r="H4" s="5" t="s">
        <v>16</v>
      </c>
      <c r="I4" s="3" t="s">
        <v>12</v>
      </c>
      <c r="J4" s="3" t="s">
        <v>25</v>
      </c>
      <c r="K4" s="3" t="s">
        <v>36</v>
      </c>
      <c r="L4" s="3" t="s">
        <v>14</v>
      </c>
      <c r="M4" s="3" t="s">
        <v>15</v>
      </c>
    </row>
    <row r="5" spans="1:13" x14ac:dyDescent="0.25">
      <c r="A5" s="6"/>
      <c r="B5" s="6" t="s">
        <v>38</v>
      </c>
      <c r="C5" s="8">
        <f>$C$2/22.5*6</f>
        <v>94414.399999999994</v>
      </c>
      <c r="D5" s="8">
        <f>$D$2/22.5*6</f>
        <v>377657.59999999998</v>
      </c>
      <c r="E5" s="5">
        <f t="shared" ref="E5" si="0">SUM(C5:D5)</f>
        <v>472072</v>
      </c>
      <c r="F5" s="8">
        <v>41256.94</v>
      </c>
      <c r="G5" s="8">
        <v>193314.69</v>
      </c>
      <c r="H5" s="5">
        <f>SUM(F5:G5)</f>
        <v>234571.63</v>
      </c>
      <c r="I5" s="19">
        <f>H5/E5</f>
        <v>0.4968979943737396</v>
      </c>
      <c r="J5" s="12">
        <v>0.30080000000000001</v>
      </c>
      <c r="K5" s="19">
        <f>J5/$F$2</f>
        <v>0.50133333333333341</v>
      </c>
      <c r="L5" s="13">
        <v>0.33439999999999998</v>
      </c>
      <c r="M5" s="20">
        <f>L5/$G$2</f>
        <v>1.1146666666666667</v>
      </c>
    </row>
    <row r="6" spans="1:13" x14ac:dyDescent="0.25">
      <c r="F6" s="2"/>
      <c r="G6" s="2"/>
      <c r="H6" s="21"/>
      <c r="J6" s="2"/>
    </row>
    <row r="7" spans="1:13" x14ac:dyDescent="0.25">
      <c r="A7" s="3" t="s">
        <v>0</v>
      </c>
      <c r="B7" s="3" t="s">
        <v>5</v>
      </c>
      <c r="C7" s="5" t="s">
        <v>6</v>
      </c>
      <c r="D7" s="3" t="s">
        <v>8</v>
      </c>
      <c r="E7" s="3" t="s">
        <v>16</v>
      </c>
      <c r="F7" s="5" t="s">
        <v>10</v>
      </c>
      <c r="G7" s="5" t="s">
        <v>11</v>
      </c>
      <c r="H7" s="5" t="s">
        <v>16</v>
      </c>
      <c r="I7" s="3" t="s">
        <v>12</v>
      </c>
      <c r="J7" s="3" t="s">
        <v>25</v>
      </c>
      <c r="K7" s="3" t="s">
        <v>36</v>
      </c>
      <c r="L7" s="3" t="s">
        <v>14</v>
      </c>
      <c r="M7" s="3" t="s">
        <v>15</v>
      </c>
    </row>
    <row r="8" spans="1:13" x14ac:dyDescent="0.25">
      <c r="A8" s="6"/>
      <c r="B8" s="6" t="s">
        <v>39</v>
      </c>
      <c r="C8" s="8">
        <f>$C$2/22.5*5.5</f>
        <v>86546.53333333334</v>
      </c>
      <c r="D8" s="8">
        <f>$D$2/22.5*5.5</f>
        <v>346186.13333333336</v>
      </c>
      <c r="E8" s="5">
        <f t="shared" ref="E8" si="1">SUM(C8:D8)</f>
        <v>432732.66666666669</v>
      </c>
      <c r="F8" s="8">
        <v>62893.95</v>
      </c>
      <c r="G8" s="8">
        <v>136030.63</v>
      </c>
      <c r="H8" s="5">
        <f t="shared" ref="H8" si="2">SUM(F8:G8)</f>
        <v>198924.58000000002</v>
      </c>
      <c r="I8" s="19">
        <f t="shared" ref="I8" si="3">H8/E8</f>
        <v>0.45969392958547156</v>
      </c>
      <c r="J8" s="22">
        <v>0.55220000000000002</v>
      </c>
      <c r="K8" s="19">
        <f>J8/$F$2</f>
        <v>0.92033333333333345</v>
      </c>
      <c r="L8" s="12">
        <v>0.34710000000000002</v>
      </c>
      <c r="M8" s="20">
        <f>L8/$G$2</f>
        <v>1.157</v>
      </c>
    </row>
    <row r="9" spans="1:13" x14ac:dyDescent="0.25">
      <c r="E9" s="3" t="s">
        <v>16</v>
      </c>
      <c r="F9" s="2"/>
      <c r="G9" s="2"/>
      <c r="H9" s="21"/>
      <c r="J9" s="2"/>
    </row>
    <row r="10" spans="1:13" x14ac:dyDescent="0.25">
      <c r="A10" s="3" t="s">
        <v>0</v>
      </c>
      <c r="B10" s="3" t="s">
        <v>5</v>
      </c>
      <c r="C10" s="5" t="s">
        <v>6</v>
      </c>
      <c r="D10" s="3" t="s">
        <v>8</v>
      </c>
      <c r="E10" s="3"/>
      <c r="F10" s="5" t="s">
        <v>10</v>
      </c>
      <c r="G10" s="5" t="s">
        <v>11</v>
      </c>
      <c r="H10" s="5" t="s">
        <v>16</v>
      </c>
      <c r="I10" s="3" t="s">
        <v>12</v>
      </c>
      <c r="J10" s="3" t="s">
        <v>25</v>
      </c>
      <c r="K10" s="3" t="s">
        <v>36</v>
      </c>
      <c r="L10" s="3" t="s">
        <v>14</v>
      </c>
      <c r="M10" s="3" t="s">
        <v>15</v>
      </c>
    </row>
    <row r="11" spans="1:13" x14ac:dyDescent="0.25">
      <c r="A11" s="6"/>
      <c r="B11" s="6" t="s">
        <v>40</v>
      </c>
      <c r="C11" s="8">
        <f>$C$2/22.5*5.5</f>
        <v>86546.53333333334</v>
      </c>
      <c r="D11" s="8">
        <f>$D$2/22.5*5.5</f>
        <v>346186.13333333336</v>
      </c>
      <c r="E11" s="5">
        <f t="shared" ref="E11" si="4">SUM(C11:D11)</f>
        <v>432732.66666666669</v>
      </c>
      <c r="F11" s="8">
        <v>93349.18</v>
      </c>
      <c r="G11" s="8">
        <v>401056.42</v>
      </c>
      <c r="H11" s="5">
        <f t="shared" ref="H11" si="5">SUM(F11:G11)</f>
        <v>494405.6</v>
      </c>
      <c r="I11" s="19">
        <f t="shared" ref="I11" si="6">H11/E11</f>
        <v>1.1425197080876721</v>
      </c>
      <c r="J11" s="22">
        <v>0.95479999999999998</v>
      </c>
      <c r="K11" s="19">
        <f>J11/$F$2</f>
        <v>1.5913333333333333</v>
      </c>
      <c r="L11" s="12">
        <v>0.27329999999999999</v>
      </c>
      <c r="M11" s="20">
        <f>L11/$G$2</f>
        <v>0.91100000000000003</v>
      </c>
    </row>
    <row r="12" spans="1:13" x14ac:dyDescent="0.25">
      <c r="F12" s="2"/>
      <c r="G12" s="2"/>
      <c r="H12" s="21"/>
      <c r="J12" s="2"/>
    </row>
    <row r="13" spans="1:13" x14ac:dyDescent="0.25">
      <c r="A13" s="3" t="s">
        <v>0</v>
      </c>
      <c r="B13" s="3" t="s">
        <v>5</v>
      </c>
      <c r="C13" s="5" t="s">
        <v>6</v>
      </c>
      <c r="D13" s="3" t="s">
        <v>8</v>
      </c>
      <c r="E13" s="3" t="s">
        <v>16</v>
      </c>
      <c r="F13" s="5" t="s">
        <v>10</v>
      </c>
      <c r="G13" s="5" t="s">
        <v>11</v>
      </c>
      <c r="H13" s="5" t="s">
        <v>16</v>
      </c>
      <c r="I13" s="3" t="s">
        <v>12</v>
      </c>
      <c r="J13" s="3" t="s">
        <v>25</v>
      </c>
      <c r="K13" s="19" t="s">
        <v>36</v>
      </c>
      <c r="L13" s="3" t="s">
        <v>14</v>
      </c>
      <c r="M13" s="3" t="s">
        <v>15</v>
      </c>
    </row>
    <row r="14" spans="1:13" x14ac:dyDescent="0.25">
      <c r="A14" s="6"/>
      <c r="B14" s="6" t="s">
        <v>41</v>
      </c>
      <c r="C14" s="8">
        <f>$C$2/22.5*5.5</f>
        <v>86546.53333333334</v>
      </c>
      <c r="D14" s="8">
        <f>$D$2/22.5*5.5</f>
        <v>346186.13333333336</v>
      </c>
      <c r="E14" s="5">
        <f t="shared" ref="E14" si="7">SUM(C14:D14)</f>
        <v>432732.66666666669</v>
      </c>
      <c r="F14" s="8">
        <v>96729.57</v>
      </c>
      <c r="G14" s="8">
        <v>381677.46</v>
      </c>
      <c r="H14" s="5">
        <f t="shared" ref="H14" si="8">SUM(F14:G14)</f>
        <v>478407.03</v>
      </c>
      <c r="I14" s="19">
        <f t="shared" ref="I14" si="9">H14/E14</f>
        <v>1.1055486836368567</v>
      </c>
      <c r="J14" s="12">
        <v>0.85329999999999995</v>
      </c>
      <c r="K14" s="19">
        <f>J14/$F$2</f>
        <v>1.4221666666666666</v>
      </c>
      <c r="L14" s="11">
        <v>0.26519999999999999</v>
      </c>
      <c r="M14" s="20">
        <f>L14/$G$2</f>
        <v>0.88400000000000001</v>
      </c>
    </row>
    <row r="16" spans="1:13" x14ac:dyDescent="0.25">
      <c r="A16" s="3" t="s">
        <v>0</v>
      </c>
      <c r="B16" s="3" t="s">
        <v>7</v>
      </c>
      <c r="C16" s="5" t="s">
        <v>6</v>
      </c>
      <c r="D16" s="3" t="s">
        <v>8</v>
      </c>
      <c r="E16" s="3" t="s">
        <v>16</v>
      </c>
      <c r="F16" s="5" t="s">
        <v>10</v>
      </c>
      <c r="G16" s="5" t="s">
        <v>11</v>
      </c>
      <c r="H16" s="5" t="s">
        <v>16</v>
      </c>
      <c r="I16" s="3" t="s">
        <v>12</v>
      </c>
      <c r="J16" s="3" t="s">
        <v>25</v>
      </c>
      <c r="K16" s="3" t="s">
        <v>36</v>
      </c>
      <c r="L16" s="3" t="s">
        <v>14</v>
      </c>
      <c r="M16" s="3" t="s">
        <v>15</v>
      </c>
    </row>
    <row r="17" spans="1:13" x14ac:dyDescent="0.25">
      <c r="A17" s="6"/>
      <c r="B17" s="24">
        <v>46204</v>
      </c>
      <c r="C17" s="8">
        <f>C5+C8+C11+C14</f>
        <v>354054</v>
      </c>
      <c r="D17" s="8">
        <f>D5+D8+D11+D14</f>
        <v>1416216</v>
      </c>
      <c r="E17" s="5">
        <f t="shared" ref="E17" si="10">SUM(C17:D17)</f>
        <v>1770270</v>
      </c>
      <c r="F17" s="8">
        <f>F5+F8+F11+F14</f>
        <v>294229.64</v>
      </c>
      <c r="G17" s="8">
        <f>G5+G8+G11+G14</f>
        <v>1112079.2</v>
      </c>
      <c r="H17" s="5">
        <f t="shared" ref="H17" si="11">SUM(F17:G17)</f>
        <v>1406308.8399999999</v>
      </c>
      <c r="I17" s="19">
        <f t="shared" ref="I17" si="12">H17/E17</f>
        <v>0.79440358815321943</v>
      </c>
      <c r="J17" s="12">
        <v>0.73319999999999996</v>
      </c>
      <c r="K17" s="19">
        <f>J17/$F$2</f>
        <v>1.222</v>
      </c>
      <c r="L17" s="12">
        <v>0.27560000000000001</v>
      </c>
      <c r="M17" s="20">
        <f>L17/$G$2</f>
        <v>0.91866666666666674</v>
      </c>
    </row>
  </sheetData>
  <pageMargins left="0.511811024" right="0.511811024" top="0.78740157499999996" bottom="0.78740157499999996" header="0.31496062000000002" footer="0.31496062000000002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1EE2-C1E0-47F6-8C25-92C5DC8690E2}">
  <dimension ref="A1:F4"/>
  <sheetViews>
    <sheetView workbookViewId="0"/>
  </sheetViews>
  <sheetFormatPr defaultRowHeight="15" x14ac:dyDescent="0.25"/>
  <cols>
    <col min="1" max="1" width="20.28515625" customWidth="1"/>
    <col min="2" max="5" width="9.28515625" bestFit="1" customWidth="1"/>
    <col min="6" max="6" width="11.28515625" style="2" customWidth="1"/>
  </cols>
  <sheetData>
    <row r="1" spans="1:6" x14ac:dyDescent="0.25">
      <c r="A1" s="3" t="s">
        <v>17</v>
      </c>
      <c r="B1" s="3" t="s">
        <v>38</v>
      </c>
      <c r="C1" s="3" t="s">
        <v>39</v>
      </c>
      <c r="D1" s="3" t="s">
        <v>40</v>
      </c>
      <c r="E1" s="3" t="s">
        <v>42</v>
      </c>
      <c r="F1" s="5" t="s">
        <v>31</v>
      </c>
    </row>
    <row r="2" spans="1:6" x14ac:dyDescent="0.25">
      <c r="A2" s="6" t="s">
        <v>30</v>
      </c>
      <c r="B2" s="8">
        <v>200</v>
      </c>
      <c r="C2" s="8">
        <v>200</v>
      </c>
      <c r="D2" s="8">
        <v>200</v>
      </c>
      <c r="E2" s="8">
        <v>200</v>
      </c>
      <c r="F2" s="8">
        <v>600</v>
      </c>
    </row>
    <row r="4" spans="1:6" ht="42" customHeight="1" x14ac:dyDescent="0.25">
      <c r="A4" s="32" t="s">
        <v>32</v>
      </c>
      <c r="B4" s="32"/>
      <c r="C4" s="32"/>
      <c r="D4" s="32"/>
      <c r="E4" s="32"/>
      <c r="F4" s="32"/>
    </row>
  </sheetData>
  <mergeCells count="1">
    <mergeCell ref="A4:F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Consultores</vt:lpstr>
      <vt:lpstr>Chefe de oficina</vt:lpstr>
      <vt:lpstr>Mecânicos</vt:lpstr>
      <vt:lpstr>Gerente</vt:lpstr>
      <vt:lpstr>BoxExpresseAuxiliar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Caioba</dc:creator>
  <cp:lastModifiedBy>Grupo Caioba</cp:lastModifiedBy>
  <cp:lastPrinted>2026-08-01T13:03:00Z</cp:lastPrinted>
  <dcterms:created xsi:type="dcterms:W3CDTF">2026-07-17T11:42:49Z</dcterms:created>
  <dcterms:modified xsi:type="dcterms:W3CDTF">2026-09-01T21:56:55Z</dcterms:modified>
</cp:coreProperties>
</file>