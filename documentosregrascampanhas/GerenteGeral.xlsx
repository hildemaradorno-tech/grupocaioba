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hgru\Documents\Pos-Venda\Campanha\Agosto\"/>
    </mc:Choice>
  </mc:AlternateContent>
  <xr:revisionPtr revIDLastSave="0" documentId="13_ncr:1_{0B0437D1-7C92-4C73-AF44-FE76B90FB4E5}" xr6:coauthVersionLast="47" xr6:coauthVersionMax="47" xr10:uidLastSave="{00000000-0000-0000-0000-000000000000}"/>
  <bookViews>
    <workbookView xWindow="-120" yWindow="-120" windowWidth="29040" windowHeight="15720" xr2:uid="{F734D757-4ECA-4156-B62E-13869BBD4E7A}"/>
  </bookViews>
  <sheets>
    <sheet name="CampoGrande" sheetId="6" r:id="rId1"/>
    <sheet name="Dourados" sheetId="10" r:id="rId2"/>
    <sheet name="TresLagoas" sheetId="8" r:id="rId3"/>
    <sheet name="ChapadaodoSul" sheetId="9" r:id="rId4"/>
  </sheets>
  <externalReferences>
    <externalReference r:id="rId5"/>
    <externalReference r:id="rId6"/>
    <externalReference r:id="rId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17" i="9" l="1"/>
  <c r="K17" i="9"/>
  <c r="M14" i="9"/>
  <c r="K14" i="9"/>
  <c r="G14" i="9"/>
  <c r="F14" i="9"/>
  <c r="H14" i="9" s="1"/>
  <c r="D14" i="9"/>
  <c r="C14" i="9"/>
  <c r="E14" i="9" s="1"/>
  <c r="L11" i="9"/>
  <c r="M11" i="9" s="1"/>
  <c r="J11" i="9"/>
  <c r="K11" i="9" s="1"/>
  <c r="G11" i="9"/>
  <c r="F11" i="9"/>
  <c r="H11" i="9" s="1"/>
  <c r="D11" i="9"/>
  <c r="C11" i="9"/>
  <c r="L8" i="9"/>
  <c r="M8" i="9" s="1"/>
  <c r="J8" i="9"/>
  <c r="K8" i="9" s="1"/>
  <c r="G8" i="9"/>
  <c r="F8" i="9"/>
  <c r="H8" i="9" s="1"/>
  <c r="I8" i="9" s="1"/>
  <c r="E8" i="9"/>
  <c r="D8" i="9"/>
  <c r="C8" i="9"/>
  <c r="L5" i="9"/>
  <c r="M5" i="9" s="1"/>
  <c r="J5" i="9"/>
  <c r="K5" i="9" s="1"/>
  <c r="G5" i="9"/>
  <c r="G17" i="9" s="1"/>
  <c r="F5" i="9"/>
  <c r="D5" i="9"/>
  <c r="C5" i="9"/>
  <c r="E2" i="9"/>
  <c r="M17" i="8"/>
  <c r="K17" i="8"/>
  <c r="M14" i="8"/>
  <c r="K14" i="8"/>
  <c r="G14" i="8"/>
  <c r="F14" i="8"/>
  <c r="H14" i="8" s="1"/>
  <c r="D14" i="8"/>
  <c r="C14" i="8"/>
  <c r="E14" i="8" s="1"/>
  <c r="L11" i="8"/>
  <c r="M11" i="8" s="1"/>
  <c r="J11" i="8"/>
  <c r="K11" i="8" s="1"/>
  <c r="G11" i="8"/>
  <c r="F11" i="8"/>
  <c r="H11" i="8" s="1"/>
  <c r="D11" i="8"/>
  <c r="C11" i="8"/>
  <c r="E11" i="8" s="1"/>
  <c r="L8" i="8"/>
  <c r="M8" i="8" s="1"/>
  <c r="J8" i="8"/>
  <c r="K8" i="8" s="1"/>
  <c r="G8" i="8"/>
  <c r="F8" i="8"/>
  <c r="H8" i="8" s="1"/>
  <c r="D8" i="8"/>
  <c r="C8" i="8"/>
  <c r="E8" i="8" s="1"/>
  <c r="L5" i="8"/>
  <c r="M5" i="8" s="1"/>
  <c r="J5" i="8"/>
  <c r="K5" i="8" s="1"/>
  <c r="G5" i="8"/>
  <c r="F5" i="8"/>
  <c r="D5" i="8"/>
  <c r="C5" i="8"/>
  <c r="E2" i="8"/>
  <c r="M17" i="10"/>
  <c r="K17" i="10"/>
  <c r="M14" i="10"/>
  <c r="K14" i="10"/>
  <c r="H14" i="10"/>
  <c r="I14" i="10" s="1"/>
  <c r="E14" i="10"/>
  <c r="D14" i="10"/>
  <c r="C14" i="10"/>
  <c r="M11" i="10"/>
  <c r="J11" i="10"/>
  <c r="K11" i="10" s="1"/>
  <c r="H11" i="10"/>
  <c r="I11" i="10" s="1"/>
  <c r="E11" i="10"/>
  <c r="D11" i="10"/>
  <c r="C11" i="10"/>
  <c r="M8" i="10"/>
  <c r="J8" i="10"/>
  <c r="K8" i="10" s="1"/>
  <c r="H8" i="10"/>
  <c r="D8" i="10"/>
  <c r="C8" i="10"/>
  <c r="E8" i="10" s="1"/>
  <c r="M5" i="10"/>
  <c r="J5" i="10"/>
  <c r="K5" i="10" s="1"/>
  <c r="G5" i="10"/>
  <c r="G17" i="10" s="1"/>
  <c r="F5" i="10"/>
  <c r="D5" i="10"/>
  <c r="D17" i="10" s="1"/>
  <c r="C5" i="10"/>
  <c r="E2" i="10"/>
  <c r="D14" i="6"/>
  <c r="D11" i="6"/>
  <c r="E11" i="6" s="1"/>
  <c r="D8" i="6"/>
  <c r="D5" i="6"/>
  <c r="C5" i="6"/>
  <c r="C17" i="6" s="1"/>
  <c r="C14" i="6"/>
  <c r="E14" i="6" s="1"/>
  <c r="C11" i="6"/>
  <c r="C8" i="6"/>
  <c r="G17" i="6"/>
  <c r="F17" i="6"/>
  <c r="M17" i="6"/>
  <c r="K17" i="6"/>
  <c r="M14" i="6"/>
  <c r="K14" i="6"/>
  <c r="H14" i="6"/>
  <c r="M11" i="6"/>
  <c r="K11" i="6"/>
  <c r="H11" i="6"/>
  <c r="M8" i="6"/>
  <c r="K8" i="6"/>
  <c r="H8" i="6"/>
  <c r="M5" i="6"/>
  <c r="K5" i="6"/>
  <c r="H5" i="6"/>
  <c r="E2" i="6"/>
  <c r="G17" i="8" l="1"/>
  <c r="D17" i="9"/>
  <c r="E11" i="9"/>
  <c r="H5" i="9"/>
  <c r="F17" i="9"/>
  <c r="E5" i="9"/>
  <c r="C17" i="9"/>
  <c r="E17" i="9" s="1"/>
  <c r="I14" i="9"/>
  <c r="I11" i="9"/>
  <c r="H5" i="8"/>
  <c r="F17" i="8"/>
  <c r="D17" i="8"/>
  <c r="C17" i="8"/>
  <c r="E5" i="8"/>
  <c r="I14" i="8"/>
  <c r="I11" i="8"/>
  <c r="I8" i="8"/>
  <c r="F17" i="10"/>
  <c r="H17" i="10" s="1"/>
  <c r="H5" i="10"/>
  <c r="C17" i="10"/>
  <c r="E17" i="10" s="1"/>
  <c r="E5" i="10"/>
  <c r="I8" i="10"/>
  <c r="D17" i="6"/>
  <c r="E17" i="6" s="1"/>
  <c r="H17" i="6"/>
  <c r="I14" i="6"/>
  <c r="I11" i="6"/>
  <c r="E8" i="6"/>
  <c r="I8" i="6" s="1"/>
  <c r="E5" i="6"/>
  <c r="I5" i="6" s="1"/>
  <c r="I5" i="9" l="1"/>
  <c r="H17" i="9"/>
  <c r="I5" i="8"/>
  <c r="H17" i="8"/>
  <c r="E17" i="8"/>
  <c r="I5" i="10"/>
  <c r="I17" i="10"/>
  <c r="I17" i="6"/>
  <c r="I17" i="9" l="1"/>
  <c r="I17" i="8"/>
</calcChain>
</file>

<file path=xl/sharedStrings.xml><?xml version="1.0" encoding="utf-8"?>
<sst xmlns="http://schemas.openxmlformats.org/spreadsheetml/2006/main" count="322" uniqueCount="22">
  <si>
    <t>Partipantes</t>
  </si>
  <si>
    <t>Serviços Total</t>
  </si>
  <si>
    <t>Peças Total</t>
  </si>
  <si>
    <t xml:space="preserve">Semana </t>
  </si>
  <si>
    <t>Meta_Serviços</t>
  </si>
  <si>
    <t>Mês</t>
  </si>
  <si>
    <t>Meta_Peças</t>
  </si>
  <si>
    <t>Realizado_Serviços</t>
  </si>
  <si>
    <t>Realizado_Peças</t>
  </si>
  <si>
    <t>% Faturamento</t>
  </si>
  <si>
    <t>MB Peças</t>
  </si>
  <si>
    <t>%MB Peças</t>
  </si>
  <si>
    <t>Total</t>
  </si>
  <si>
    <t>Produtividade</t>
  </si>
  <si>
    <t>% Produtividade</t>
  </si>
  <si>
    <t>Joao Francisco de Freitas</t>
  </si>
  <si>
    <t>Elias Vaz Aguero</t>
  </si>
  <si>
    <t>Fabiano Nascimento</t>
  </si>
  <si>
    <t>01 à 08/08</t>
  </si>
  <si>
    <t>10 à 15/08</t>
  </si>
  <si>
    <t>17 à 22/08</t>
  </si>
  <si>
    <t>24 à 31/08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</si>
</sst>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yyyy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0" borderId="0" xfId="0" applyFont="1"/>
    <xf numFmtId="4" fontId="0" fillId="0" borderId="0" xfId="0" applyNumberFormat="1"/>
    <xf numFmtId="0" fontId="2" fillId="0" borderId="1" xfId="0" applyFont="1" applyBorder="1"/>
    <xf numFmtId="164" fontId="2" fillId="0" borderId="1" xfId="0" applyNumberFormat="1" applyFont="1" applyBorder="1"/>
    <xf numFmtId="4" fontId="2" fillId="0" borderId="1" xfId="0" applyNumberFormat="1" applyFont="1" applyBorder="1"/>
    <xf numFmtId="0" fontId="0" fillId="0" borderId="1" xfId="0" applyBorder="1"/>
    <xf numFmtId="164" fontId="0" fillId="0" borderId="1" xfId="0" applyNumberFormat="1" applyBorder="1"/>
    <xf numFmtId="4" fontId="0" fillId="0" borderId="1" xfId="0" applyNumberFormat="1" applyBorder="1"/>
    <xf numFmtId="10" fontId="0" fillId="0" borderId="1" xfId="1" applyNumberFormat="1" applyFont="1" applyBorder="1"/>
    <xf numFmtId="10" fontId="0" fillId="0" borderId="1" xfId="0" applyNumberFormat="1" applyBorder="1"/>
    <xf numFmtId="9" fontId="2" fillId="0" borderId="1" xfId="1" applyFont="1" applyBorder="1"/>
    <xf numFmtId="9" fontId="2" fillId="0" borderId="1" xfId="0" applyNumberFormat="1" applyFont="1" applyBorder="1"/>
    <xf numFmtId="9" fontId="2" fillId="0" borderId="0" xfId="0" applyNumberFormat="1" applyFont="1"/>
    <xf numFmtId="10" fontId="2" fillId="0" borderId="1" xfId="1" applyNumberFormat="1" applyFont="1" applyBorder="1"/>
    <xf numFmtId="10" fontId="2" fillId="0" borderId="1" xfId="0" applyNumberFormat="1" applyFont="1" applyBorder="1"/>
    <xf numFmtId="4" fontId="2" fillId="0" borderId="0" xfId="0" applyNumberFormat="1" applyFont="1"/>
    <xf numFmtId="10" fontId="1" fillId="0" borderId="1" xfId="1" applyNumberFormat="1" applyFont="1" applyBorder="1"/>
    <xf numFmtId="17" fontId="0" fillId="0" borderId="1" xfId="0" applyNumberFormat="1" applyBorder="1"/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hgru\Documents\Pos-Venda\Campanha\Agosto\Dourados.xlsx" TargetMode="External"/><Relationship Id="rId1" Type="http://schemas.openxmlformats.org/officeDocument/2006/relationships/externalLinkPath" Target="Dourado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hgru\Documents\Pos-Venda\Campanha\Agosto\Tr&#234;sLagoas.xlsx" TargetMode="External"/><Relationship Id="rId1" Type="http://schemas.openxmlformats.org/officeDocument/2006/relationships/externalLinkPath" Target="Tr&#234;sLagoa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hgru\Documents\Pos-Venda\Campanha\Agosto\ChapadaodoSul.xlsx" TargetMode="External"/><Relationship Id="rId1" Type="http://schemas.openxmlformats.org/officeDocument/2006/relationships/externalLinkPath" Target="ChapadaodoSu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ultores"/>
      <sheetName val="Chefe de oficina"/>
      <sheetName val="Mecânicos"/>
      <sheetName val="Gerente"/>
      <sheetName val="Apontador"/>
    </sheetNames>
    <sheetDataSet>
      <sheetData sheetId="0">
        <row r="6">
          <cell r="F6">
            <v>4939.42</v>
          </cell>
          <cell r="G6">
            <v>21140.91</v>
          </cell>
        </row>
        <row r="7">
          <cell r="F7">
            <v>0</v>
          </cell>
          <cell r="G7">
            <v>0</v>
          </cell>
        </row>
      </sheetData>
      <sheetData sheetId="1">
        <row r="6">
          <cell r="B6">
            <v>6.3100000000000003E-2</v>
          </cell>
          <cell r="D6">
            <v>0.52090000000000003</v>
          </cell>
          <cell r="F6">
            <v>0.78610000000000002</v>
          </cell>
        </row>
      </sheetData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ultores"/>
      <sheetName val="Chefe de oficina"/>
      <sheetName val="Mecânicos"/>
      <sheetName val="Gerente"/>
    </sheetNames>
    <sheetDataSet>
      <sheetData sheetId="0">
        <row r="5">
          <cell r="F5">
            <v>6331.4</v>
          </cell>
          <cell r="G5">
            <v>45652.68</v>
          </cell>
          <cell r="L5">
            <v>0.37959999999999999</v>
          </cell>
        </row>
        <row r="8">
          <cell r="F8">
            <v>19055.669999999998</v>
          </cell>
          <cell r="G8">
            <v>84264.56</v>
          </cell>
          <cell r="L8">
            <v>0.2883</v>
          </cell>
        </row>
        <row r="11">
          <cell r="F11">
            <v>20084.8</v>
          </cell>
          <cell r="G11">
            <v>147713.57999999999</v>
          </cell>
          <cell r="L11">
            <v>0.25600000000000001</v>
          </cell>
        </row>
        <row r="14">
          <cell r="F14">
            <v>33637.370000000003</v>
          </cell>
          <cell r="G14">
            <v>118610.56</v>
          </cell>
        </row>
      </sheetData>
      <sheetData sheetId="1">
        <row r="6">
          <cell r="B6">
            <v>8.72E-2</v>
          </cell>
          <cell r="D6">
            <v>0.42699999999999999</v>
          </cell>
          <cell r="F6">
            <v>0.6573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ultores"/>
      <sheetName val="Mecânicos"/>
      <sheetName val="Gerente"/>
    </sheetNames>
    <sheetDataSet>
      <sheetData sheetId="0">
        <row r="5">
          <cell r="F5">
            <v>5170.55</v>
          </cell>
          <cell r="G5">
            <v>24699.79</v>
          </cell>
          <cell r="L5">
            <v>0.32200000000000001</v>
          </cell>
        </row>
        <row r="8">
          <cell r="F8">
            <v>533.15</v>
          </cell>
          <cell r="G8">
            <v>3123.9</v>
          </cell>
          <cell r="L8">
            <v>0.38890000000000002</v>
          </cell>
        </row>
        <row r="11">
          <cell r="F11">
            <v>2917.05</v>
          </cell>
          <cell r="G11">
            <v>27669.83</v>
          </cell>
          <cell r="L11">
            <v>0.26229999999999998</v>
          </cell>
        </row>
        <row r="14">
          <cell r="F14">
            <v>5567.3</v>
          </cell>
          <cell r="G14">
            <v>11018.13</v>
          </cell>
        </row>
      </sheetData>
      <sheetData sheetId="1">
        <row r="3">
          <cell r="D3">
            <v>0.20019999999999999</v>
          </cell>
          <cell r="F3">
            <v>3.61E-2</v>
          </cell>
          <cell r="H3">
            <v>0.17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43380-E3F3-4BA6-A4E7-04FD44BFCBF2}">
  <dimension ref="A1:M17"/>
  <sheetViews>
    <sheetView tabSelected="1" zoomScaleNormal="100" workbookViewId="0">
      <selection activeCell="I17" sqref="I17"/>
    </sheetView>
  </sheetViews>
  <sheetFormatPr defaultRowHeight="15" x14ac:dyDescent="0.25"/>
  <cols>
    <col min="1" max="1" width="31.28515625" customWidth="1"/>
    <col min="2" max="3" width="12.5703125" style="2" bestFit="1" customWidth="1"/>
    <col min="4" max="4" width="12" customWidth="1"/>
    <col min="5" max="5" width="12" style="1" customWidth="1"/>
    <col min="6" max="6" width="17.5703125" customWidth="1"/>
    <col min="7" max="7" width="15.7109375" customWidth="1"/>
    <col min="8" max="8" width="11.7109375" style="1" bestFit="1" customWidth="1"/>
    <col min="9" max="9" width="13.7109375" style="1" bestFit="1" customWidth="1"/>
    <col min="10" max="10" width="14.42578125" customWidth="1"/>
    <col min="11" max="11" width="14.42578125" style="1" customWidth="1"/>
    <col min="12" max="12" width="14.28515625" customWidth="1"/>
    <col min="13" max="13" width="14.28515625" style="1" customWidth="1"/>
  </cols>
  <sheetData>
    <row r="1" spans="1:13" x14ac:dyDescent="0.25">
      <c r="A1" s="3" t="s">
        <v>0</v>
      </c>
      <c r="B1" s="4" t="s">
        <v>5</v>
      </c>
      <c r="C1" s="5" t="s">
        <v>1</v>
      </c>
      <c r="D1" s="5" t="s">
        <v>2</v>
      </c>
      <c r="E1" s="5" t="s">
        <v>12</v>
      </c>
      <c r="F1" s="3" t="s">
        <v>13</v>
      </c>
      <c r="G1" s="3" t="s">
        <v>10</v>
      </c>
      <c r="J1" s="1"/>
      <c r="L1" s="1"/>
    </row>
    <row r="2" spans="1:13" x14ac:dyDescent="0.25">
      <c r="A2" s="6"/>
      <c r="B2" s="7">
        <v>46235</v>
      </c>
      <c r="C2" s="8">
        <v>404454</v>
      </c>
      <c r="D2" s="8">
        <v>1617816</v>
      </c>
      <c r="E2" s="5">
        <f>SUM(C2:D2)</f>
        <v>2022270</v>
      </c>
      <c r="F2" s="11">
        <v>0.6</v>
      </c>
      <c r="G2" s="12">
        <v>0.3</v>
      </c>
      <c r="H2" s="13"/>
      <c r="I2" s="13"/>
    </row>
    <row r="4" spans="1:13" x14ac:dyDescent="0.25">
      <c r="A4" s="3" t="s">
        <v>0</v>
      </c>
      <c r="B4" s="3" t="s">
        <v>3</v>
      </c>
      <c r="C4" s="5" t="s">
        <v>4</v>
      </c>
      <c r="D4" s="3" t="s">
        <v>6</v>
      </c>
      <c r="E4" s="3" t="s">
        <v>12</v>
      </c>
      <c r="F4" s="5" t="s">
        <v>7</v>
      </c>
      <c r="G4" s="5" t="s">
        <v>8</v>
      </c>
      <c r="H4" s="5" t="s">
        <v>12</v>
      </c>
      <c r="I4" s="3" t="s">
        <v>9</v>
      </c>
      <c r="J4" s="3" t="s">
        <v>13</v>
      </c>
      <c r="K4" s="3" t="s">
        <v>14</v>
      </c>
      <c r="L4" s="3" t="s">
        <v>10</v>
      </c>
      <c r="M4" s="3" t="s">
        <v>11</v>
      </c>
    </row>
    <row r="5" spans="1:13" x14ac:dyDescent="0.25">
      <c r="A5" s="6"/>
      <c r="B5" s="6" t="s">
        <v>18</v>
      </c>
      <c r="C5" s="8">
        <f>$C2/22.5*6</f>
        <v>107854.39999999999</v>
      </c>
      <c r="D5" s="8">
        <f>$D$2/22.5*6</f>
        <v>431417.59999999998</v>
      </c>
      <c r="E5" s="5">
        <f t="shared" ref="E5" si="0">SUM(C5:D5)</f>
        <v>539272</v>
      </c>
      <c r="F5" s="8">
        <v>42780.24</v>
      </c>
      <c r="G5" s="8">
        <v>193314.69</v>
      </c>
      <c r="H5" s="5">
        <f>SUM(F5:G5)</f>
        <v>236094.93</v>
      </c>
      <c r="I5" s="14">
        <f>H5/E5</f>
        <v>0.43780305671349523</v>
      </c>
      <c r="J5" s="9">
        <v>0.30080000000000001</v>
      </c>
      <c r="K5" s="14">
        <f>J5/$F$2</f>
        <v>0.50133333333333341</v>
      </c>
      <c r="L5" s="10">
        <v>0.33439999999999998</v>
      </c>
      <c r="M5" s="15">
        <f>L5/$G$2</f>
        <v>1.1146666666666667</v>
      </c>
    </row>
    <row r="6" spans="1:13" x14ac:dyDescent="0.25">
      <c r="F6" s="2"/>
      <c r="G6" s="2"/>
      <c r="H6" s="16"/>
      <c r="J6" s="2"/>
    </row>
    <row r="7" spans="1:13" x14ac:dyDescent="0.25">
      <c r="A7" s="3" t="s">
        <v>0</v>
      </c>
      <c r="B7" s="3" t="s">
        <v>3</v>
      </c>
      <c r="C7" s="5" t="s">
        <v>4</v>
      </c>
      <c r="D7" s="3" t="s">
        <v>6</v>
      </c>
      <c r="E7" s="3" t="s">
        <v>12</v>
      </c>
      <c r="F7" s="5" t="s">
        <v>7</v>
      </c>
      <c r="G7" s="5" t="s">
        <v>8</v>
      </c>
      <c r="H7" s="5" t="s">
        <v>12</v>
      </c>
      <c r="I7" s="3" t="s">
        <v>9</v>
      </c>
      <c r="J7" s="3" t="s">
        <v>13</v>
      </c>
      <c r="K7" s="3" t="s">
        <v>14</v>
      </c>
      <c r="L7" s="3" t="s">
        <v>10</v>
      </c>
      <c r="M7" s="3" t="s">
        <v>11</v>
      </c>
    </row>
    <row r="8" spans="1:13" x14ac:dyDescent="0.25">
      <c r="A8" s="6"/>
      <c r="B8" s="6" t="s">
        <v>19</v>
      </c>
      <c r="C8" s="8">
        <f>$C$2/22.5*5.5</f>
        <v>98866.53333333334</v>
      </c>
      <c r="D8" s="8">
        <f>$D$2/22.5*5.5</f>
        <v>395466.13333333336</v>
      </c>
      <c r="E8" s="5">
        <f t="shared" ref="E8" si="1">SUM(C8:D8)</f>
        <v>494332.66666666669</v>
      </c>
      <c r="F8" s="8">
        <v>74990.149999999994</v>
      </c>
      <c r="G8" s="8">
        <v>135384.71</v>
      </c>
      <c r="H8" s="5">
        <f t="shared" ref="H8" si="2">SUM(F8:G8)</f>
        <v>210374.86</v>
      </c>
      <c r="I8" s="14">
        <f t="shared" ref="I8" si="3">H8/E8</f>
        <v>0.42557345323459633</v>
      </c>
      <c r="J8" s="17">
        <v>0.55220000000000002</v>
      </c>
      <c r="K8" s="14">
        <f>J8/$F$2</f>
        <v>0.92033333333333345</v>
      </c>
      <c r="L8" s="9">
        <v>0.31619999999999998</v>
      </c>
      <c r="M8" s="15">
        <f>L8/$G$2</f>
        <v>1.054</v>
      </c>
    </row>
    <row r="9" spans="1:13" x14ac:dyDescent="0.25">
      <c r="E9" s="3" t="s">
        <v>12</v>
      </c>
      <c r="F9" s="2"/>
      <c r="G9" s="2"/>
      <c r="H9" s="16"/>
      <c r="J9" s="2"/>
    </row>
    <row r="10" spans="1:13" x14ac:dyDescent="0.25">
      <c r="A10" s="3" t="s">
        <v>0</v>
      </c>
      <c r="B10" s="3" t="s">
        <v>3</v>
      </c>
      <c r="C10" s="5" t="s">
        <v>4</v>
      </c>
      <c r="D10" s="3" t="s">
        <v>6</v>
      </c>
      <c r="E10" s="3"/>
      <c r="F10" s="5" t="s">
        <v>7</v>
      </c>
      <c r="G10" s="5" t="s">
        <v>8</v>
      </c>
      <c r="H10" s="5" t="s">
        <v>12</v>
      </c>
      <c r="I10" s="3" t="s">
        <v>9</v>
      </c>
      <c r="J10" s="3" t="s">
        <v>13</v>
      </c>
      <c r="K10" s="3" t="s">
        <v>14</v>
      </c>
      <c r="L10" s="3" t="s">
        <v>10</v>
      </c>
      <c r="M10" s="3" t="s">
        <v>11</v>
      </c>
    </row>
    <row r="11" spans="1:13" x14ac:dyDescent="0.25">
      <c r="A11" s="6"/>
      <c r="B11" s="6" t="s">
        <v>20</v>
      </c>
      <c r="C11" s="8">
        <f>$C$2/22.5*5.5</f>
        <v>98866.53333333334</v>
      </c>
      <c r="D11" s="8">
        <f>$D$2/22.5*5.5</f>
        <v>395466.13333333336</v>
      </c>
      <c r="E11" s="5">
        <f t="shared" ref="E11" si="4">SUM(C11:D11)</f>
        <v>494332.66666666669</v>
      </c>
      <c r="F11" s="8">
        <v>132784.18</v>
      </c>
      <c r="G11" s="8">
        <v>538146.4</v>
      </c>
      <c r="H11" s="5">
        <f t="shared" ref="H11" si="5">SUM(F11:G11)</f>
        <v>670930.58000000007</v>
      </c>
      <c r="I11" s="14">
        <f t="shared" ref="I11" si="6">H11/E11</f>
        <v>1.3572450805732712</v>
      </c>
      <c r="J11" s="17">
        <v>0.95479999999999998</v>
      </c>
      <c r="K11" s="14">
        <f>J11/$F$2</f>
        <v>1.5913333333333333</v>
      </c>
      <c r="L11" s="9">
        <v>0.28870000000000001</v>
      </c>
      <c r="M11" s="15">
        <f>L11/$G$2</f>
        <v>0.96233333333333337</v>
      </c>
    </row>
    <row r="12" spans="1:13" x14ac:dyDescent="0.25">
      <c r="F12" s="2"/>
      <c r="G12" s="2"/>
      <c r="H12" s="16"/>
      <c r="J12" s="2"/>
    </row>
    <row r="13" spans="1:13" x14ac:dyDescent="0.25">
      <c r="A13" s="3" t="s">
        <v>0</v>
      </c>
      <c r="B13" s="3" t="s">
        <v>3</v>
      </c>
      <c r="C13" s="5" t="s">
        <v>4</v>
      </c>
      <c r="D13" s="3" t="s">
        <v>6</v>
      </c>
      <c r="E13" s="3" t="s">
        <v>12</v>
      </c>
      <c r="F13" s="5" t="s">
        <v>7</v>
      </c>
      <c r="G13" s="5" t="s">
        <v>8</v>
      </c>
      <c r="H13" s="5" t="s">
        <v>12</v>
      </c>
      <c r="I13" s="3" t="s">
        <v>9</v>
      </c>
      <c r="J13" s="3" t="s">
        <v>13</v>
      </c>
      <c r="K13" s="14" t="s">
        <v>14</v>
      </c>
      <c r="L13" s="3" t="s">
        <v>10</v>
      </c>
      <c r="M13" s="3" t="s">
        <v>11</v>
      </c>
    </row>
    <row r="14" spans="1:13" x14ac:dyDescent="0.25">
      <c r="A14" s="6"/>
      <c r="B14" s="6" t="s">
        <v>21</v>
      </c>
      <c r="C14" s="8">
        <f>$C$2/22.5*5.5</f>
        <v>98866.53333333334</v>
      </c>
      <c r="D14" s="8">
        <f>$D$2/22.5*5.5</f>
        <v>395466.13333333336</v>
      </c>
      <c r="E14" s="5">
        <f t="shared" ref="E14" si="7">SUM(C14:D14)</f>
        <v>494332.66666666669</v>
      </c>
      <c r="F14" s="8">
        <v>111909.57</v>
      </c>
      <c r="G14" s="8">
        <v>423698.17</v>
      </c>
      <c r="H14" s="5">
        <f t="shared" ref="H14" si="8">SUM(F14:G14)</f>
        <v>535607.74</v>
      </c>
      <c r="I14" s="14">
        <f t="shared" ref="I14" si="9">H14/E14</f>
        <v>1.0834965522542848</v>
      </c>
      <c r="J14" s="9">
        <v>0.85329999999999995</v>
      </c>
      <c r="K14" s="14">
        <f>J14/$F$2</f>
        <v>1.4221666666666666</v>
      </c>
      <c r="L14" s="9">
        <v>0.27</v>
      </c>
      <c r="M14" s="15">
        <f>L14/$G$2</f>
        <v>0.90000000000000013</v>
      </c>
    </row>
    <row r="16" spans="1:13" x14ac:dyDescent="0.25">
      <c r="A16" s="3" t="s">
        <v>0</v>
      </c>
      <c r="B16" s="3" t="s">
        <v>5</v>
      </c>
      <c r="C16" s="5" t="s">
        <v>4</v>
      </c>
      <c r="D16" s="3" t="s">
        <v>6</v>
      </c>
      <c r="E16" s="3" t="s">
        <v>12</v>
      </c>
      <c r="F16" s="5" t="s">
        <v>7</v>
      </c>
      <c r="G16" s="5" t="s">
        <v>8</v>
      </c>
      <c r="H16" s="5" t="s">
        <v>12</v>
      </c>
      <c r="I16" s="3" t="s">
        <v>9</v>
      </c>
      <c r="J16" s="3" t="s">
        <v>13</v>
      </c>
      <c r="K16" s="3" t="s">
        <v>14</v>
      </c>
      <c r="L16" s="3" t="s">
        <v>10</v>
      </c>
      <c r="M16" s="3" t="s">
        <v>11</v>
      </c>
    </row>
    <row r="17" spans="1:13" x14ac:dyDescent="0.25">
      <c r="A17" s="6"/>
      <c r="B17" s="18">
        <v>46235</v>
      </c>
      <c r="C17" s="8">
        <f>C5+C8+C11+C14</f>
        <v>404454</v>
      </c>
      <c r="D17" s="8">
        <f>D5+D8+D11+D14</f>
        <v>1617816</v>
      </c>
      <c r="E17" s="5">
        <f t="shared" ref="E17" si="10">SUM(C17:D17)</f>
        <v>2022270</v>
      </c>
      <c r="F17" s="8">
        <f>F5+F8+F11+F14</f>
        <v>362464.14</v>
      </c>
      <c r="G17" s="8">
        <f>G5+G8+G11+G14</f>
        <v>1290543.97</v>
      </c>
      <c r="H17" s="5">
        <f t="shared" ref="H17" si="11">SUM(F17:G17)</f>
        <v>1653008.1099999999</v>
      </c>
      <c r="I17" s="14">
        <f t="shared" ref="I17" si="12">H17/E17</f>
        <v>0.81740228060545816</v>
      </c>
      <c r="J17" s="9">
        <v>0.73319999999999996</v>
      </c>
      <c r="K17" s="14">
        <f>J17/$F$2</f>
        <v>1.222</v>
      </c>
      <c r="L17" s="9">
        <v>0.27560000000000001</v>
      </c>
      <c r="M17" s="15">
        <f>L17/$G$2</f>
        <v>0.91866666666666674</v>
      </c>
    </row>
  </sheetData>
  <pageMargins left="0.511811024" right="0.511811024" top="0.78740157499999996" bottom="0.78740157499999996" header="0.31496062000000002" footer="0.31496062000000002"/>
  <pageSetup paperSize="9" scale="6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9204D-969B-4B3E-B54D-8DDBA7756E70}">
  <dimension ref="A1:M17"/>
  <sheetViews>
    <sheetView workbookViewId="0">
      <selection activeCell="I17" sqref="I17"/>
    </sheetView>
  </sheetViews>
  <sheetFormatPr defaultRowHeight="15" x14ac:dyDescent="0.25"/>
  <cols>
    <col min="1" max="1" width="31.28515625" customWidth="1"/>
    <col min="2" max="3" width="12.5703125" style="2" bestFit="1" customWidth="1"/>
    <col min="4" max="4" width="12" customWidth="1"/>
    <col min="5" max="5" width="12" style="1" customWidth="1"/>
    <col min="6" max="6" width="17.5703125" customWidth="1"/>
    <col min="7" max="7" width="15.7109375" customWidth="1"/>
    <col min="8" max="8" width="11.140625" style="1" customWidth="1"/>
    <col min="9" max="9" width="13.7109375" style="1" bestFit="1" customWidth="1"/>
    <col min="10" max="10" width="14.42578125" customWidth="1"/>
    <col min="11" max="11" width="14.42578125" style="1" customWidth="1"/>
    <col min="12" max="12" width="14.28515625" customWidth="1"/>
    <col min="13" max="13" width="14.28515625" style="1" customWidth="1"/>
  </cols>
  <sheetData>
    <row r="1" spans="1:13" x14ac:dyDescent="0.25">
      <c r="A1" s="3" t="s">
        <v>0</v>
      </c>
      <c r="B1" s="4" t="s">
        <v>5</v>
      </c>
      <c r="C1" s="5" t="s">
        <v>1</v>
      </c>
      <c r="D1" s="5" t="s">
        <v>2</v>
      </c>
      <c r="E1" s="5" t="s">
        <v>12</v>
      </c>
      <c r="F1" s="3" t="s">
        <v>13</v>
      </c>
      <c r="G1" s="3" t="s">
        <v>10</v>
      </c>
      <c r="J1" s="1"/>
      <c r="L1" s="1"/>
    </row>
    <row r="2" spans="1:13" x14ac:dyDescent="0.25">
      <c r="A2" s="6" t="s">
        <v>15</v>
      </c>
      <c r="B2" s="7">
        <v>46204</v>
      </c>
      <c r="C2" s="8">
        <v>199438</v>
      </c>
      <c r="D2" s="8">
        <v>797752</v>
      </c>
      <c r="E2" s="5">
        <f>SUM(C2:D2)</f>
        <v>997190</v>
      </c>
      <c r="F2" s="11">
        <v>0.57999999999999996</v>
      </c>
      <c r="G2" s="12">
        <v>0.3</v>
      </c>
      <c r="H2" s="13"/>
      <c r="I2" s="13"/>
    </row>
    <row r="4" spans="1:13" x14ac:dyDescent="0.25">
      <c r="A4" s="3" t="s">
        <v>0</v>
      </c>
      <c r="B4" s="3" t="s">
        <v>3</v>
      </c>
      <c r="C4" s="5" t="s">
        <v>4</v>
      </c>
      <c r="D4" s="3" t="s">
        <v>6</v>
      </c>
      <c r="E4" s="3" t="s">
        <v>12</v>
      </c>
      <c r="F4" s="5" t="s">
        <v>7</v>
      </c>
      <c r="G4" s="5" t="s">
        <v>8</v>
      </c>
      <c r="H4" s="5" t="s">
        <v>12</v>
      </c>
      <c r="I4" s="3" t="s">
        <v>9</v>
      </c>
      <c r="J4" s="3" t="s">
        <v>13</v>
      </c>
      <c r="K4" s="3" t="s">
        <v>14</v>
      </c>
      <c r="L4" s="3" t="s">
        <v>10</v>
      </c>
      <c r="M4" s="3" t="s">
        <v>11</v>
      </c>
    </row>
    <row r="5" spans="1:13" x14ac:dyDescent="0.25">
      <c r="A5" s="6" t="s">
        <v>15</v>
      </c>
      <c r="B5" s="6" t="s">
        <v>18</v>
      </c>
      <c r="C5" s="8">
        <f>$C$2/22.5*6</f>
        <v>53183.46666666666</v>
      </c>
      <c r="D5" s="8">
        <f>$D$2/22.5*6</f>
        <v>212733.86666666664</v>
      </c>
      <c r="E5" s="5">
        <f t="shared" ref="E5" si="0">SUM(C5:D5)</f>
        <v>265917.33333333331</v>
      </c>
      <c r="F5" s="8">
        <f>[1]Consultores!F6+[1]Consultores!F7</f>
        <v>4939.42</v>
      </c>
      <c r="G5" s="8">
        <f>[1]Consultores!G6+[1]Consultores!G7</f>
        <v>21140.91</v>
      </c>
      <c r="H5" s="5">
        <f>SUM(F5:G5)</f>
        <v>26080.33</v>
      </c>
      <c r="I5" s="14">
        <f>H5/E5</f>
        <v>9.8076833401859242E-2</v>
      </c>
      <c r="J5" s="9">
        <f>'[1]Chefe de oficina'!B6</f>
        <v>6.3100000000000003E-2</v>
      </c>
      <c r="K5" s="14">
        <f>J5/$F$2</f>
        <v>0.10879310344827588</v>
      </c>
      <c r="L5" s="10">
        <v>0.18360000000000001</v>
      </c>
      <c r="M5" s="15">
        <f>L5/$G$2</f>
        <v>0.6120000000000001</v>
      </c>
    </row>
    <row r="6" spans="1:13" x14ac:dyDescent="0.25">
      <c r="F6" s="2"/>
      <c r="G6" s="2"/>
      <c r="H6" s="16"/>
      <c r="J6" s="2"/>
    </row>
    <row r="7" spans="1:13" x14ac:dyDescent="0.25">
      <c r="A7" s="3" t="s">
        <v>0</v>
      </c>
      <c r="B7" s="3" t="s">
        <v>3</v>
      </c>
      <c r="C7" s="5" t="s">
        <v>4</v>
      </c>
      <c r="D7" s="3" t="s">
        <v>6</v>
      </c>
      <c r="E7" s="3" t="s">
        <v>12</v>
      </c>
      <c r="F7" s="5" t="s">
        <v>7</v>
      </c>
      <c r="G7" s="5" t="s">
        <v>8</v>
      </c>
      <c r="H7" s="5" t="s">
        <v>12</v>
      </c>
      <c r="I7" s="3" t="s">
        <v>9</v>
      </c>
      <c r="J7" s="3" t="s">
        <v>13</v>
      </c>
      <c r="K7" s="3" t="s">
        <v>14</v>
      </c>
      <c r="L7" s="3" t="s">
        <v>10</v>
      </c>
      <c r="M7" s="3" t="s">
        <v>11</v>
      </c>
    </row>
    <row r="8" spans="1:13" x14ac:dyDescent="0.25">
      <c r="A8" s="6" t="s">
        <v>15</v>
      </c>
      <c r="B8" s="6" t="s">
        <v>19</v>
      </c>
      <c r="C8" s="8">
        <f>$C$2/22.5*5.5</f>
        <v>48751.511111111111</v>
      </c>
      <c r="D8" s="8">
        <f>$D$2/22.5*5.5</f>
        <v>195006.04444444444</v>
      </c>
      <c r="E8" s="5">
        <f t="shared" ref="E8" si="1">SUM(C8:D8)</f>
        <v>243757.55555555556</v>
      </c>
      <c r="F8" s="8">
        <v>25034.27</v>
      </c>
      <c r="G8" s="8">
        <v>107346.63</v>
      </c>
      <c r="H8" s="5">
        <f t="shared" ref="H8" si="2">SUM(F8:G8)</f>
        <v>132380.9</v>
      </c>
      <c r="I8" s="14">
        <f t="shared" ref="I8" si="3">H8/E8</f>
        <v>0.54308429413925852</v>
      </c>
      <c r="J8" s="17">
        <f>'[1]Chefe de oficina'!D6</f>
        <v>0.52090000000000003</v>
      </c>
      <c r="K8" s="14">
        <f>J8/$F$2</f>
        <v>0.89810344827586219</v>
      </c>
      <c r="L8" s="9">
        <v>0.2011</v>
      </c>
      <c r="M8" s="15">
        <f>L8/$G$2</f>
        <v>0.67033333333333334</v>
      </c>
    </row>
    <row r="9" spans="1:13" x14ac:dyDescent="0.25">
      <c r="E9" s="3" t="s">
        <v>12</v>
      </c>
      <c r="F9" s="2"/>
      <c r="G9" s="2"/>
      <c r="H9" s="16"/>
      <c r="J9" s="2"/>
    </row>
    <row r="10" spans="1:13" x14ac:dyDescent="0.25">
      <c r="A10" s="3" t="s">
        <v>0</v>
      </c>
      <c r="B10" s="3" t="s">
        <v>3</v>
      </c>
      <c r="C10" s="5" t="s">
        <v>4</v>
      </c>
      <c r="D10" s="3" t="s">
        <v>6</v>
      </c>
      <c r="E10" s="3"/>
      <c r="F10" s="5" t="s">
        <v>7</v>
      </c>
      <c r="G10" s="5" t="s">
        <v>8</v>
      </c>
      <c r="H10" s="5" t="s">
        <v>12</v>
      </c>
      <c r="I10" s="3" t="s">
        <v>9</v>
      </c>
      <c r="J10" s="3" t="s">
        <v>13</v>
      </c>
      <c r="K10" s="3" t="s">
        <v>14</v>
      </c>
      <c r="L10" s="3" t="s">
        <v>10</v>
      </c>
      <c r="M10" s="3" t="s">
        <v>11</v>
      </c>
    </row>
    <row r="11" spans="1:13" x14ac:dyDescent="0.25">
      <c r="A11" s="6" t="s">
        <v>15</v>
      </c>
      <c r="B11" s="6" t="s">
        <v>20</v>
      </c>
      <c r="C11" s="8">
        <f>$C$2/22.5*5.5</f>
        <v>48751.511111111111</v>
      </c>
      <c r="D11" s="8">
        <f>$D$2/22.5*5.5</f>
        <v>195006.04444444444</v>
      </c>
      <c r="E11" s="5">
        <f t="shared" ref="E11" si="4">SUM(C11:D11)</f>
        <v>243757.55555555556</v>
      </c>
      <c r="F11" s="8">
        <v>61641</v>
      </c>
      <c r="G11" s="8">
        <v>201860.42</v>
      </c>
      <c r="H11" s="5">
        <f t="shared" ref="H11" si="5">SUM(F11:G11)</f>
        <v>263501.42000000004</v>
      </c>
      <c r="I11" s="14">
        <f t="shared" ref="I11" si="6">H11/E11</f>
        <v>1.0809979588097101</v>
      </c>
      <c r="J11" s="9">
        <f>'[1]Chefe de oficina'!F6</f>
        <v>0.78610000000000002</v>
      </c>
      <c r="K11" s="14">
        <f>J11/$F$2</f>
        <v>1.355344827586207</v>
      </c>
      <c r="L11" s="9">
        <v>0.29160000000000003</v>
      </c>
      <c r="M11" s="15">
        <f>L11/$G$2</f>
        <v>0.97200000000000009</v>
      </c>
    </row>
    <row r="12" spans="1:13" x14ac:dyDescent="0.25">
      <c r="F12" s="2"/>
      <c r="G12" s="2"/>
      <c r="H12" s="16"/>
      <c r="J12" s="2"/>
    </row>
    <row r="13" spans="1:13" x14ac:dyDescent="0.25">
      <c r="A13" s="3" t="s">
        <v>0</v>
      </c>
      <c r="B13" s="3" t="s">
        <v>3</v>
      </c>
      <c r="C13" s="5" t="s">
        <v>4</v>
      </c>
      <c r="D13" s="3" t="s">
        <v>6</v>
      </c>
      <c r="E13" s="3" t="s">
        <v>12</v>
      </c>
      <c r="F13" s="5" t="s">
        <v>7</v>
      </c>
      <c r="G13" s="5" t="s">
        <v>8</v>
      </c>
      <c r="H13" s="5" t="s">
        <v>12</v>
      </c>
      <c r="I13" s="3" t="s">
        <v>9</v>
      </c>
      <c r="J13" s="3" t="s">
        <v>13</v>
      </c>
      <c r="K13" s="3" t="s">
        <v>14</v>
      </c>
      <c r="L13" s="3" t="s">
        <v>10</v>
      </c>
      <c r="M13" s="3" t="s">
        <v>11</v>
      </c>
    </row>
    <row r="14" spans="1:13" x14ac:dyDescent="0.25">
      <c r="A14" s="6" t="s">
        <v>15</v>
      </c>
      <c r="B14" s="6" t="s">
        <v>21</v>
      </c>
      <c r="C14" s="8">
        <f>$C$2/22.5*5.5</f>
        <v>48751.511111111111</v>
      </c>
      <c r="D14" s="8">
        <f>$D$2/22.5*5.5</f>
        <v>195006.04444444444</v>
      </c>
      <c r="E14" s="5">
        <f t="shared" ref="E14" si="7">SUM(C14:D14)</f>
        <v>243757.55555555556</v>
      </c>
      <c r="F14" s="8">
        <v>61684.63</v>
      </c>
      <c r="G14" s="8">
        <v>192100.9</v>
      </c>
      <c r="H14" s="5">
        <f t="shared" ref="H14" si="8">SUM(F14:G14)</f>
        <v>253785.53</v>
      </c>
      <c r="I14" s="14">
        <f t="shared" ref="I14" si="9">H14/E14</f>
        <v>1.0411391327812973</v>
      </c>
      <c r="J14" s="9">
        <v>0.5796</v>
      </c>
      <c r="K14" s="14">
        <f>J14/$F$2</f>
        <v>0.99931034482758629</v>
      </c>
      <c r="L14" s="9">
        <v>0.21079999999999999</v>
      </c>
      <c r="M14" s="15">
        <f>L14/$G$2</f>
        <v>0.70266666666666666</v>
      </c>
    </row>
    <row r="16" spans="1:13" x14ac:dyDescent="0.25">
      <c r="A16" s="3" t="s">
        <v>0</v>
      </c>
      <c r="B16" s="3" t="s">
        <v>3</v>
      </c>
      <c r="C16" s="5" t="s">
        <v>4</v>
      </c>
      <c r="D16" s="3" t="s">
        <v>6</v>
      </c>
      <c r="E16" s="3" t="s">
        <v>12</v>
      </c>
      <c r="F16" s="5" t="s">
        <v>7</v>
      </c>
      <c r="G16" s="5" t="s">
        <v>8</v>
      </c>
      <c r="H16" s="5" t="s">
        <v>12</v>
      </c>
      <c r="I16" s="3" t="s">
        <v>9</v>
      </c>
      <c r="J16" s="3" t="s">
        <v>13</v>
      </c>
      <c r="K16" s="3" t="s">
        <v>14</v>
      </c>
      <c r="L16" s="3" t="s">
        <v>10</v>
      </c>
      <c r="M16" s="3" t="s">
        <v>11</v>
      </c>
    </row>
    <row r="17" spans="1:13" x14ac:dyDescent="0.25">
      <c r="A17" s="6" t="s">
        <v>15</v>
      </c>
      <c r="B17" s="18">
        <v>46204</v>
      </c>
      <c r="C17" s="8">
        <f>+C5+C8+C11+C14</f>
        <v>199438</v>
      </c>
      <c r="D17" s="8">
        <f>+D5+D8+D11+D14</f>
        <v>797752</v>
      </c>
      <c r="E17" s="5">
        <f t="shared" ref="E17" si="10">SUM(C17:D17)</f>
        <v>997190</v>
      </c>
      <c r="F17" s="8">
        <f>+F5+F8+F11+F14</f>
        <v>153299.32</v>
      </c>
      <c r="G17" s="8">
        <f>+G5+G8+G11+G14</f>
        <v>522448.86</v>
      </c>
      <c r="H17" s="5">
        <f t="shared" ref="H17" si="11">SUM(F17:G17)</f>
        <v>675748.17999999993</v>
      </c>
      <c r="I17" s="14">
        <f t="shared" ref="I17" si="12">H17/E17</f>
        <v>0.67765238319678289</v>
      </c>
      <c r="J17" s="9">
        <v>0.49890000000000001</v>
      </c>
      <c r="K17" s="14">
        <f>J17/$F$2</f>
        <v>0.8601724137931035</v>
      </c>
      <c r="L17" s="9">
        <v>0.2445</v>
      </c>
      <c r="M17" s="15">
        <f>L17/$G$2</f>
        <v>0.81500000000000006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F98E2-891C-4B15-96EE-21A809098F69}">
  <dimension ref="A1:M17"/>
  <sheetViews>
    <sheetView zoomScaleNormal="100" workbookViewId="0">
      <selection activeCell="I5" sqref="I5"/>
    </sheetView>
  </sheetViews>
  <sheetFormatPr defaultRowHeight="15" x14ac:dyDescent="0.25"/>
  <cols>
    <col min="1" max="1" width="31.28515625" customWidth="1"/>
    <col min="2" max="3" width="12.5703125" style="2" bestFit="1" customWidth="1"/>
    <col min="4" max="4" width="12" customWidth="1"/>
    <col min="5" max="5" width="12" style="1" customWidth="1"/>
    <col min="6" max="6" width="17.5703125" customWidth="1"/>
    <col min="7" max="7" width="15.7109375" customWidth="1"/>
    <col min="8" max="8" width="11.140625" style="1" customWidth="1"/>
    <col min="9" max="9" width="13.7109375" style="1" bestFit="1" customWidth="1"/>
    <col min="10" max="10" width="14.42578125" customWidth="1"/>
    <col min="11" max="11" width="14.42578125" style="1" customWidth="1"/>
    <col min="12" max="12" width="14.28515625" customWidth="1"/>
    <col min="13" max="13" width="14.28515625" style="1" customWidth="1"/>
  </cols>
  <sheetData>
    <row r="1" spans="1:13" x14ac:dyDescent="0.25">
      <c r="A1" s="3" t="s">
        <v>0</v>
      </c>
      <c r="B1" s="4" t="s">
        <v>5</v>
      </c>
      <c r="C1" s="5" t="s">
        <v>1</v>
      </c>
      <c r="D1" s="5" t="s">
        <v>2</v>
      </c>
      <c r="E1" s="5" t="s">
        <v>12</v>
      </c>
      <c r="F1" s="3" t="s">
        <v>13</v>
      </c>
      <c r="G1" s="3" t="s">
        <v>10</v>
      </c>
      <c r="J1" s="1"/>
      <c r="L1" s="1"/>
    </row>
    <row r="2" spans="1:13" x14ac:dyDescent="0.25">
      <c r="A2" s="6" t="s">
        <v>16</v>
      </c>
      <c r="B2" s="7">
        <v>46204</v>
      </c>
      <c r="C2" s="8">
        <v>92916</v>
      </c>
      <c r="D2" s="8">
        <v>371664</v>
      </c>
      <c r="E2" s="5">
        <f>SUM(C2:D2)</f>
        <v>464580</v>
      </c>
      <c r="F2" s="11">
        <v>0.55000000000000004</v>
      </c>
      <c r="G2" s="12">
        <v>0.3</v>
      </c>
      <c r="H2" s="13"/>
      <c r="I2" s="13"/>
    </row>
    <row r="4" spans="1:13" x14ac:dyDescent="0.25">
      <c r="A4" s="3" t="s">
        <v>0</v>
      </c>
      <c r="B4" s="3" t="s">
        <v>3</v>
      </c>
      <c r="C4" s="5" t="s">
        <v>4</v>
      </c>
      <c r="D4" s="3" t="s">
        <v>6</v>
      </c>
      <c r="E4" s="3" t="s">
        <v>12</v>
      </c>
      <c r="F4" s="5" t="s">
        <v>7</v>
      </c>
      <c r="G4" s="5" t="s">
        <v>8</v>
      </c>
      <c r="H4" s="5" t="s">
        <v>12</v>
      </c>
      <c r="I4" s="3" t="s">
        <v>9</v>
      </c>
      <c r="J4" s="3" t="s">
        <v>13</v>
      </c>
      <c r="K4" s="3" t="s">
        <v>14</v>
      </c>
      <c r="L4" s="3" t="s">
        <v>10</v>
      </c>
      <c r="M4" s="3" t="s">
        <v>11</v>
      </c>
    </row>
    <row r="5" spans="1:13" x14ac:dyDescent="0.25">
      <c r="A5" s="6" t="s">
        <v>16</v>
      </c>
      <c r="B5" s="6" t="s">
        <v>18</v>
      </c>
      <c r="C5" s="8">
        <f>$C$2/22.5*6</f>
        <v>24777.600000000002</v>
      </c>
      <c r="D5" s="8">
        <f>$D$2/22.5*6</f>
        <v>99110.400000000009</v>
      </c>
      <c r="E5" s="5">
        <f t="shared" ref="E5" si="0">SUM(C5:D5)</f>
        <v>123888.00000000001</v>
      </c>
      <c r="F5" s="8">
        <f>[2]Consultores!F5</f>
        <v>6331.4</v>
      </c>
      <c r="G5" s="8">
        <f>[2]Consultores!G5</f>
        <v>45652.68</v>
      </c>
      <c r="H5" s="5">
        <f>SUM(F5:G5)</f>
        <v>51984.08</v>
      </c>
      <c r="I5" s="14">
        <f>H5/E5</f>
        <v>0.41960545008394673</v>
      </c>
      <c r="J5" s="9">
        <f>'[2]Chefe de oficina'!B6</f>
        <v>8.72E-2</v>
      </c>
      <c r="K5" s="14">
        <f>J5/$F$2</f>
        <v>0.15854545454545454</v>
      </c>
      <c r="L5" s="10">
        <f>[2]Consultores!L5</f>
        <v>0.37959999999999999</v>
      </c>
      <c r="M5" s="15">
        <f>L5/$G$2</f>
        <v>1.2653333333333334</v>
      </c>
    </row>
    <row r="6" spans="1:13" x14ac:dyDescent="0.25">
      <c r="F6" s="2"/>
      <c r="G6" s="2"/>
      <c r="H6" s="16"/>
      <c r="J6" s="2"/>
    </row>
    <row r="7" spans="1:13" x14ac:dyDescent="0.25">
      <c r="A7" s="3" t="s">
        <v>0</v>
      </c>
      <c r="B7" s="3" t="s">
        <v>3</v>
      </c>
      <c r="C7" s="5" t="s">
        <v>4</v>
      </c>
      <c r="D7" s="3" t="s">
        <v>6</v>
      </c>
      <c r="E7" s="3" t="s">
        <v>12</v>
      </c>
      <c r="F7" s="5" t="s">
        <v>7</v>
      </c>
      <c r="G7" s="5" t="s">
        <v>8</v>
      </c>
      <c r="H7" s="5" t="s">
        <v>12</v>
      </c>
      <c r="I7" s="3" t="s">
        <v>9</v>
      </c>
      <c r="J7" s="3" t="s">
        <v>13</v>
      </c>
      <c r="K7" s="3" t="s">
        <v>14</v>
      </c>
      <c r="L7" s="3" t="s">
        <v>10</v>
      </c>
      <c r="M7" s="3" t="s">
        <v>11</v>
      </c>
    </row>
    <row r="8" spans="1:13" x14ac:dyDescent="0.25">
      <c r="A8" s="6" t="s">
        <v>16</v>
      </c>
      <c r="B8" s="6" t="s">
        <v>19</v>
      </c>
      <c r="C8" s="8">
        <f>$C$2/22.5*5.5</f>
        <v>22712.800000000003</v>
      </c>
      <c r="D8" s="8">
        <f>$D$2/22.5*5.5</f>
        <v>90851.200000000012</v>
      </c>
      <c r="E8" s="5">
        <f t="shared" ref="E8" si="1">SUM(C8:D8)</f>
        <v>113564.00000000001</v>
      </c>
      <c r="F8" s="8">
        <f>[2]Consultores!F8</f>
        <v>19055.669999999998</v>
      </c>
      <c r="G8" s="8">
        <f>[2]Consultores!G8</f>
        <v>84264.56</v>
      </c>
      <c r="H8" s="5">
        <f t="shared" ref="H8" si="2">SUM(F8:G8)</f>
        <v>103320.23</v>
      </c>
      <c r="I8" s="14">
        <f t="shared" ref="I8" si="3">H8/E8</f>
        <v>0.90979738297347734</v>
      </c>
      <c r="J8" s="17">
        <f>'[2]Chefe de oficina'!D6</f>
        <v>0.42699999999999999</v>
      </c>
      <c r="K8" s="14">
        <f>J8/$F$2</f>
        <v>0.77636363636363626</v>
      </c>
      <c r="L8" s="9">
        <f>[2]Consultores!L8</f>
        <v>0.2883</v>
      </c>
      <c r="M8" s="15">
        <f>L8/$G$2</f>
        <v>0.96100000000000008</v>
      </c>
    </row>
    <row r="9" spans="1:13" x14ac:dyDescent="0.25">
      <c r="E9" s="3" t="s">
        <v>12</v>
      </c>
      <c r="F9" s="2"/>
      <c r="G9" s="2"/>
      <c r="H9" s="16"/>
      <c r="J9" s="2"/>
    </row>
    <row r="10" spans="1:13" x14ac:dyDescent="0.25">
      <c r="A10" s="3" t="s">
        <v>0</v>
      </c>
      <c r="B10" s="3" t="s">
        <v>3</v>
      </c>
      <c r="C10" s="5" t="s">
        <v>4</v>
      </c>
      <c r="D10" s="3" t="s">
        <v>6</v>
      </c>
      <c r="E10" s="3"/>
      <c r="F10" s="5" t="s">
        <v>7</v>
      </c>
      <c r="G10" s="5" t="s">
        <v>8</v>
      </c>
      <c r="H10" s="5" t="s">
        <v>12</v>
      </c>
      <c r="I10" s="3" t="s">
        <v>9</v>
      </c>
      <c r="J10" s="3" t="s">
        <v>13</v>
      </c>
      <c r="K10" s="3" t="s">
        <v>14</v>
      </c>
      <c r="L10" s="3" t="s">
        <v>10</v>
      </c>
      <c r="M10" s="3" t="s">
        <v>11</v>
      </c>
    </row>
    <row r="11" spans="1:13" x14ac:dyDescent="0.25">
      <c r="A11" s="6" t="s">
        <v>16</v>
      </c>
      <c r="B11" s="6" t="s">
        <v>20</v>
      </c>
      <c r="C11" s="8">
        <f>$C$2/22.5*5.5</f>
        <v>22712.800000000003</v>
      </c>
      <c r="D11" s="8">
        <f>$D$2/22.5*5.5</f>
        <v>90851.200000000012</v>
      </c>
      <c r="E11" s="5">
        <f t="shared" ref="E11" si="4">SUM(C11:D11)</f>
        <v>113564.00000000001</v>
      </c>
      <c r="F11" s="8">
        <f>[2]Consultores!F11</f>
        <v>20084.8</v>
      </c>
      <c r="G11" s="8">
        <f>[2]Consultores!G11</f>
        <v>147713.57999999999</v>
      </c>
      <c r="H11" s="5">
        <f t="shared" ref="H11" si="5">SUM(F11:G11)</f>
        <v>167798.37999999998</v>
      </c>
      <c r="I11" s="14">
        <f t="shared" ref="I11" si="6">H11/E11</f>
        <v>1.4775666584480993</v>
      </c>
      <c r="J11" s="9">
        <f>'[2]Chefe de oficina'!F6</f>
        <v>0.6573</v>
      </c>
      <c r="K11" s="14">
        <f>J11/$F$2</f>
        <v>1.195090909090909</v>
      </c>
      <c r="L11" s="9">
        <f>[2]Consultores!L11</f>
        <v>0.25600000000000001</v>
      </c>
      <c r="M11" s="15">
        <f>L11/$G$2</f>
        <v>0.85333333333333339</v>
      </c>
    </row>
    <row r="12" spans="1:13" x14ac:dyDescent="0.25">
      <c r="F12" s="2"/>
      <c r="G12" s="2"/>
      <c r="H12" s="16"/>
      <c r="J12" s="2"/>
    </row>
    <row r="13" spans="1:13" x14ac:dyDescent="0.25">
      <c r="A13" s="3" t="s">
        <v>0</v>
      </c>
      <c r="B13" s="3" t="s">
        <v>3</v>
      </c>
      <c r="C13" s="5" t="s">
        <v>4</v>
      </c>
      <c r="D13" s="3" t="s">
        <v>6</v>
      </c>
      <c r="E13" s="3" t="s">
        <v>12</v>
      </c>
      <c r="F13" s="5" t="s">
        <v>7</v>
      </c>
      <c r="G13" s="5" t="s">
        <v>8</v>
      </c>
      <c r="H13" s="5" t="s">
        <v>12</v>
      </c>
      <c r="I13" s="3" t="s">
        <v>9</v>
      </c>
      <c r="J13" s="3" t="s">
        <v>13</v>
      </c>
      <c r="K13" s="3" t="s">
        <v>14</v>
      </c>
      <c r="L13" s="3" t="s">
        <v>10</v>
      </c>
      <c r="M13" s="3" t="s">
        <v>11</v>
      </c>
    </row>
    <row r="14" spans="1:13" x14ac:dyDescent="0.25">
      <c r="A14" s="6" t="s">
        <v>16</v>
      </c>
      <c r="B14" s="6" t="s">
        <v>21</v>
      </c>
      <c r="C14" s="8">
        <f>$C$2/22.5*5.5</f>
        <v>22712.800000000003</v>
      </c>
      <c r="D14" s="8">
        <f>$D$2/22.5*5.5</f>
        <v>90851.200000000012</v>
      </c>
      <c r="E14" s="5">
        <f t="shared" ref="E14" si="7">SUM(C14:D14)</f>
        <v>113564.00000000001</v>
      </c>
      <c r="F14" s="8">
        <f>[2]Consultores!F14</f>
        <v>33637.370000000003</v>
      </c>
      <c r="G14" s="8">
        <f>[2]Consultores!G14</f>
        <v>118610.56</v>
      </c>
      <c r="H14" s="5">
        <f t="shared" ref="H14" si="8">SUM(F14:G14)</f>
        <v>152247.93</v>
      </c>
      <c r="I14" s="14">
        <f t="shared" ref="I14" si="9">H14/E14</f>
        <v>1.3406355006868371</v>
      </c>
      <c r="J14" s="9">
        <v>0.67630000000000001</v>
      </c>
      <c r="K14" s="14">
        <f>J14/$F$2</f>
        <v>1.2296363636363636</v>
      </c>
      <c r="L14" s="9">
        <v>0.22370000000000001</v>
      </c>
      <c r="M14" s="15">
        <f>L14/$G$2</f>
        <v>0.7456666666666667</v>
      </c>
    </row>
    <row r="16" spans="1:13" x14ac:dyDescent="0.25">
      <c r="A16" s="3" t="s">
        <v>0</v>
      </c>
      <c r="B16" s="3" t="s">
        <v>5</v>
      </c>
      <c r="C16" s="5" t="s">
        <v>4</v>
      </c>
      <c r="D16" s="3" t="s">
        <v>6</v>
      </c>
      <c r="E16" s="3" t="s">
        <v>12</v>
      </c>
      <c r="F16" s="5" t="s">
        <v>7</v>
      </c>
      <c r="G16" s="5" t="s">
        <v>8</v>
      </c>
      <c r="H16" s="5" t="s">
        <v>12</v>
      </c>
      <c r="I16" s="3" t="s">
        <v>9</v>
      </c>
      <c r="J16" s="3" t="s">
        <v>13</v>
      </c>
      <c r="K16" s="3" t="s">
        <v>14</v>
      </c>
      <c r="L16" s="3" t="s">
        <v>10</v>
      </c>
      <c r="M16" s="3" t="s">
        <v>11</v>
      </c>
    </row>
    <row r="17" spans="1:13" x14ac:dyDescent="0.25">
      <c r="A17" s="6" t="s">
        <v>16</v>
      </c>
      <c r="B17" s="18">
        <v>46204</v>
      </c>
      <c r="C17" s="8">
        <f>+C5+C8+C11+C14</f>
        <v>92916.000000000015</v>
      </c>
      <c r="D17" s="8">
        <f>+D5+D8+D11+D14</f>
        <v>371664.00000000006</v>
      </c>
      <c r="E17" s="8">
        <f t="shared" ref="E17" si="10">SUM(C17:D17)</f>
        <v>464580.00000000006</v>
      </c>
      <c r="F17" s="8">
        <f>+F5+F8+F11+F14</f>
        <v>79109.239999999991</v>
      </c>
      <c r="G17" s="8">
        <f>+G5+G8+G11+G14</f>
        <v>396241.37999999995</v>
      </c>
      <c r="H17" s="8">
        <f>+H5+H8+H11+H14</f>
        <v>475350.61999999994</v>
      </c>
      <c r="I17" s="9">
        <f t="shared" ref="I17" si="11">H17/E17</f>
        <v>1.0231835636488869</v>
      </c>
      <c r="J17" s="9">
        <v>0.44370999999999999</v>
      </c>
      <c r="K17" s="14">
        <f>J17/$F$2</f>
        <v>0.80674545454545443</v>
      </c>
      <c r="L17" s="9">
        <v>0.26629999999999998</v>
      </c>
      <c r="M17" s="15">
        <f>L17/$G$2</f>
        <v>0.8876666666666666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A9AB8-3C27-4560-A0EF-864541FC1C6F}">
  <dimension ref="A1:M17"/>
  <sheetViews>
    <sheetView zoomScaleNormal="100" workbookViewId="0">
      <selection activeCell="G24" sqref="G24"/>
    </sheetView>
  </sheetViews>
  <sheetFormatPr defaultRowHeight="15" x14ac:dyDescent="0.25"/>
  <cols>
    <col min="1" max="1" width="31.28515625" customWidth="1"/>
    <col min="2" max="3" width="12.5703125" style="2" bestFit="1" customWidth="1"/>
    <col min="4" max="4" width="12" customWidth="1"/>
    <col min="5" max="5" width="12" style="1" customWidth="1"/>
    <col min="6" max="6" width="17.5703125" customWidth="1"/>
    <col min="7" max="7" width="15.7109375" customWidth="1"/>
    <col min="8" max="8" width="11.140625" style="1" customWidth="1"/>
    <col min="9" max="9" width="13.7109375" style="1" bestFit="1" customWidth="1"/>
    <col min="10" max="10" width="14.42578125" customWidth="1"/>
    <col min="11" max="11" width="14.42578125" style="1" customWidth="1"/>
    <col min="12" max="12" width="14.28515625" customWidth="1"/>
    <col min="13" max="13" width="14.28515625" style="1" customWidth="1"/>
  </cols>
  <sheetData>
    <row r="1" spans="1:13" x14ac:dyDescent="0.25">
      <c r="A1" s="3" t="s">
        <v>0</v>
      </c>
      <c r="B1" s="4" t="s">
        <v>5</v>
      </c>
      <c r="C1" s="5" t="s">
        <v>1</v>
      </c>
      <c r="D1" s="5" t="s">
        <v>2</v>
      </c>
      <c r="E1" s="5" t="s">
        <v>12</v>
      </c>
      <c r="F1" s="3" t="s">
        <v>13</v>
      </c>
      <c r="G1" s="3" t="s">
        <v>10</v>
      </c>
      <c r="J1" s="1"/>
      <c r="L1" s="1"/>
    </row>
    <row r="2" spans="1:13" x14ac:dyDescent="0.25">
      <c r="A2" s="6" t="s">
        <v>17</v>
      </c>
      <c r="B2" s="7">
        <v>46235</v>
      </c>
      <c r="C2" s="8">
        <v>17565</v>
      </c>
      <c r="D2" s="8">
        <v>79042.5</v>
      </c>
      <c r="E2" s="5">
        <f>SUM(C2:D2)</f>
        <v>96607.5</v>
      </c>
      <c r="F2" s="11">
        <v>0.4</v>
      </c>
      <c r="G2" s="12">
        <v>0.3</v>
      </c>
      <c r="H2" s="13"/>
      <c r="I2" s="13"/>
    </row>
    <row r="4" spans="1:13" x14ac:dyDescent="0.25">
      <c r="A4" s="3" t="s">
        <v>0</v>
      </c>
      <c r="B4" s="3" t="s">
        <v>3</v>
      </c>
      <c r="C4" s="5" t="s">
        <v>4</v>
      </c>
      <c r="D4" s="3" t="s">
        <v>6</v>
      </c>
      <c r="E4" s="3" t="s">
        <v>12</v>
      </c>
      <c r="F4" s="5" t="s">
        <v>7</v>
      </c>
      <c r="G4" s="5" t="s">
        <v>8</v>
      </c>
      <c r="H4" s="5" t="s">
        <v>12</v>
      </c>
      <c r="I4" s="3" t="s">
        <v>9</v>
      </c>
      <c r="J4" s="3" t="s">
        <v>13</v>
      </c>
      <c r="K4" s="3" t="s">
        <v>14</v>
      </c>
      <c r="L4" s="3" t="s">
        <v>10</v>
      </c>
      <c r="M4" s="3" t="s">
        <v>11</v>
      </c>
    </row>
    <row r="5" spans="1:13" x14ac:dyDescent="0.25">
      <c r="A5" s="6" t="s">
        <v>17</v>
      </c>
      <c r="B5" s="6" t="s">
        <v>18</v>
      </c>
      <c r="C5" s="8">
        <f>$C$2/22.5*6</f>
        <v>4684</v>
      </c>
      <c r="D5" s="8">
        <f>$D$2/22.5*6</f>
        <v>21078</v>
      </c>
      <c r="E5" s="5">
        <f t="shared" ref="E5" si="0">SUM(C5:D5)</f>
        <v>25762</v>
      </c>
      <c r="F5" s="8">
        <f>[3]Consultores!F5</f>
        <v>5170.55</v>
      </c>
      <c r="G5" s="8">
        <f>[3]Consultores!G5</f>
        <v>24699.79</v>
      </c>
      <c r="H5" s="5">
        <f>SUM(F5:G5)</f>
        <v>29870.34</v>
      </c>
      <c r="I5" s="14">
        <f>H5/E5</f>
        <v>1.1594728670134307</v>
      </c>
      <c r="J5" s="9">
        <f>[3]Mecânicos!D3</f>
        <v>0.20019999999999999</v>
      </c>
      <c r="K5" s="14">
        <f>J5/$F$2</f>
        <v>0.50049999999999994</v>
      </c>
      <c r="L5" s="10">
        <f>[3]Consultores!L5</f>
        <v>0.32200000000000001</v>
      </c>
      <c r="M5" s="15">
        <f>L5/$G$2</f>
        <v>1.0733333333333335</v>
      </c>
    </row>
    <row r="6" spans="1:13" x14ac:dyDescent="0.25">
      <c r="F6" s="2"/>
      <c r="G6" s="2"/>
      <c r="H6" s="16"/>
      <c r="J6" s="2"/>
    </row>
    <row r="7" spans="1:13" x14ac:dyDescent="0.25">
      <c r="A7" s="3" t="s">
        <v>0</v>
      </c>
      <c r="B7" s="3" t="s">
        <v>3</v>
      </c>
      <c r="C7" s="5" t="s">
        <v>4</v>
      </c>
      <c r="D7" s="3" t="s">
        <v>6</v>
      </c>
      <c r="E7" s="3" t="s">
        <v>12</v>
      </c>
      <c r="F7" s="5" t="s">
        <v>7</v>
      </c>
      <c r="G7" s="5" t="s">
        <v>8</v>
      </c>
      <c r="H7" s="5" t="s">
        <v>12</v>
      </c>
      <c r="I7" s="3" t="s">
        <v>9</v>
      </c>
      <c r="J7" s="3" t="s">
        <v>13</v>
      </c>
      <c r="K7" s="3" t="s">
        <v>14</v>
      </c>
      <c r="L7" s="3" t="s">
        <v>10</v>
      </c>
      <c r="M7" s="3" t="s">
        <v>11</v>
      </c>
    </row>
    <row r="8" spans="1:13" x14ac:dyDescent="0.25">
      <c r="A8" s="6" t="s">
        <v>17</v>
      </c>
      <c r="B8" s="6" t="s">
        <v>19</v>
      </c>
      <c r="C8" s="8">
        <f>$C$2/22.5*5.5</f>
        <v>4293.6666666666661</v>
      </c>
      <c r="D8" s="8">
        <f>$D$2/22.5*5.5</f>
        <v>19321.5</v>
      </c>
      <c r="E8" s="5">
        <f t="shared" ref="E8" si="1">SUM(C8:D8)</f>
        <v>23615.166666666664</v>
      </c>
      <c r="F8" s="8">
        <f>[3]Consultores!F8</f>
        <v>533.15</v>
      </c>
      <c r="G8" s="8">
        <f>[3]Consultores!G8</f>
        <v>3123.9</v>
      </c>
      <c r="H8" s="5">
        <f t="shared" ref="H8" si="2">SUM(F8:G8)</f>
        <v>3657.05</v>
      </c>
      <c r="I8" s="14">
        <f t="shared" ref="I8" si="3">H8/E8</f>
        <v>0.15486022400858207</v>
      </c>
      <c r="J8" s="17">
        <f>[3]Mecânicos!F3</f>
        <v>3.61E-2</v>
      </c>
      <c r="K8" s="14">
        <f>J8/$F$2</f>
        <v>9.0249999999999997E-2</v>
      </c>
      <c r="L8" s="10">
        <f>[3]Consultores!L8</f>
        <v>0.38890000000000002</v>
      </c>
      <c r="M8" s="15">
        <f>L8/$G$2</f>
        <v>1.2963333333333336</v>
      </c>
    </row>
    <row r="9" spans="1:13" x14ac:dyDescent="0.25">
      <c r="E9" s="3" t="s">
        <v>12</v>
      </c>
      <c r="F9" s="2"/>
      <c r="G9" s="2"/>
      <c r="H9" s="16"/>
      <c r="J9" s="2"/>
    </row>
    <row r="10" spans="1:13" x14ac:dyDescent="0.25">
      <c r="A10" s="3" t="s">
        <v>0</v>
      </c>
      <c r="B10" s="3" t="s">
        <v>3</v>
      </c>
      <c r="C10" s="5" t="s">
        <v>4</v>
      </c>
      <c r="D10" s="3" t="s">
        <v>6</v>
      </c>
      <c r="E10" s="3"/>
      <c r="F10" s="5" t="s">
        <v>7</v>
      </c>
      <c r="G10" s="5" t="s">
        <v>8</v>
      </c>
      <c r="H10" s="5" t="s">
        <v>12</v>
      </c>
      <c r="I10" s="3" t="s">
        <v>9</v>
      </c>
      <c r="J10" s="3" t="s">
        <v>13</v>
      </c>
      <c r="K10" s="3" t="s">
        <v>14</v>
      </c>
      <c r="L10" s="3" t="s">
        <v>10</v>
      </c>
      <c r="M10" s="3" t="s">
        <v>11</v>
      </c>
    </row>
    <row r="11" spans="1:13" x14ac:dyDescent="0.25">
      <c r="A11" s="6" t="s">
        <v>17</v>
      </c>
      <c r="B11" s="6" t="s">
        <v>20</v>
      </c>
      <c r="C11" s="8">
        <f>$C$2/22.5*5.5</f>
        <v>4293.6666666666661</v>
      </c>
      <c r="D11" s="8">
        <f>$D$2/22.5*5.5</f>
        <v>19321.5</v>
      </c>
      <c r="E11" s="5">
        <f t="shared" ref="E11" si="4">SUM(C11:D11)</f>
        <v>23615.166666666664</v>
      </c>
      <c r="F11" s="8">
        <f>[3]Consultores!F11</f>
        <v>2917.05</v>
      </c>
      <c r="G11" s="8">
        <f>[3]Consultores!G11</f>
        <v>27669.83</v>
      </c>
      <c r="H11" s="5">
        <f t="shared" ref="H11" si="5">SUM(F11:G11)</f>
        <v>30586.880000000001</v>
      </c>
      <c r="I11" s="14">
        <f t="shared" ref="I11" si="6">H11/E11</f>
        <v>1.2952218560106148</v>
      </c>
      <c r="J11" s="9">
        <f>[3]Mecânicos!H3</f>
        <v>0.17</v>
      </c>
      <c r="K11" s="14">
        <f>J11/$F$2</f>
        <v>0.42499999999999999</v>
      </c>
      <c r="L11" s="10">
        <f>[3]Consultores!L11</f>
        <v>0.26229999999999998</v>
      </c>
      <c r="M11" s="15">
        <f>L11/$G$2</f>
        <v>0.8743333333333333</v>
      </c>
    </row>
    <row r="12" spans="1:13" x14ac:dyDescent="0.25">
      <c r="F12" s="2"/>
      <c r="G12" s="2"/>
      <c r="H12" s="16"/>
      <c r="J12" s="2"/>
    </row>
    <row r="13" spans="1:13" x14ac:dyDescent="0.25">
      <c r="A13" s="3" t="s">
        <v>0</v>
      </c>
      <c r="B13" s="3" t="s">
        <v>3</v>
      </c>
      <c r="C13" s="5" t="s">
        <v>4</v>
      </c>
      <c r="D13" s="3" t="s">
        <v>6</v>
      </c>
      <c r="E13" s="3" t="s">
        <v>12</v>
      </c>
      <c r="F13" s="5" t="s">
        <v>7</v>
      </c>
      <c r="G13" s="5" t="s">
        <v>8</v>
      </c>
      <c r="H13" s="5" t="s">
        <v>12</v>
      </c>
      <c r="I13" s="3" t="s">
        <v>9</v>
      </c>
      <c r="J13" s="3" t="s">
        <v>13</v>
      </c>
      <c r="K13" s="3" t="s">
        <v>14</v>
      </c>
      <c r="L13" s="3" t="s">
        <v>10</v>
      </c>
      <c r="M13" s="3" t="s">
        <v>11</v>
      </c>
    </row>
    <row r="14" spans="1:13" x14ac:dyDescent="0.25">
      <c r="A14" s="6" t="s">
        <v>17</v>
      </c>
      <c r="B14" s="6" t="s">
        <v>21</v>
      </c>
      <c r="C14" s="8">
        <f>$C$2/22.5*5.5</f>
        <v>4293.6666666666661</v>
      </c>
      <c r="D14" s="8">
        <f>$D$2/22.5*5.5</f>
        <v>19321.5</v>
      </c>
      <c r="E14" s="5">
        <f t="shared" ref="E14" si="7">SUM(C14:D14)</f>
        <v>23615.166666666664</v>
      </c>
      <c r="F14" s="8">
        <f>[3]Consultores!F14</f>
        <v>5567.3</v>
      </c>
      <c r="G14" s="8">
        <f>[3]Consultores!G14</f>
        <v>11018.13</v>
      </c>
      <c r="H14" s="5">
        <f t="shared" ref="H14" si="8">SUM(F14:G14)</f>
        <v>16585.43</v>
      </c>
      <c r="I14" s="14">
        <f t="shared" ref="I14" si="9">H14/E14</f>
        <v>0.70232110719805785</v>
      </c>
      <c r="J14" s="9">
        <v>0.29039999999999999</v>
      </c>
      <c r="K14" s="14">
        <f>J14/$F$2</f>
        <v>0.72599999999999998</v>
      </c>
      <c r="L14" s="9">
        <v>0.22470000000000001</v>
      </c>
      <c r="M14" s="15">
        <f>L14/$G$2</f>
        <v>0.74900000000000011</v>
      </c>
    </row>
    <row r="16" spans="1:13" x14ac:dyDescent="0.25">
      <c r="A16" s="3" t="s">
        <v>0</v>
      </c>
      <c r="B16" s="3" t="s">
        <v>5</v>
      </c>
      <c r="C16" s="5" t="s">
        <v>4</v>
      </c>
      <c r="D16" s="3" t="s">
        <v>6</v>
      </c>
      <c r="E16" s="3" t="s">
        <v>12</v>
      </c>
      <c r="F16" s="5" t="s">
        <v>7</v>
      </c>
      <c r="G16" s="5" t="s">
        <v>8</v>
      </c>
      <c r="H16" s="5" t="s">
        <v>12</v>
      </c>
      <c r="I16" s="3" t="s">
        <v>9</v>
      </c>
      <c r="J16" s="3" t="s">
        <v>13</v>
      </c>
      <c r="K16" s="3" t="s">
        <v>14</v>
      </c>
      <c r="L16" s="3" t="s">
        <v>10</v>
      </c>
      <c r="M16" s="3" t="s">
        <v>11</v>
      </c>
    </row>
    <row r="17" spans="1:13" x14ac:dyDescent="0.25">
      <c r="A17" s="6" t="s">
        <v>17</v>
      </c>
      <c r="B17" s="18">
        <v>46235</v>
      </c>
      <c r="C17" s="8">
        <f>+C5+C8+C11+C14</f>
        <v>17565</v>
      </c>
      <c r="D17" s="8">
        <f>+D5+D8+D11+D14</f>
        <v>79042.5</v>
      </c>
      <c r="E17" s="8">
        <f t="shared" ref="E17" si="10">SUM(C17:D17)</f>
        <v>96607.5</v>
      </c>
      <c r="F17" s="8">
        <f>+F5+F8+F11+F14</f>
        <v>14188.05</v>
      </c>
      <c r="G17" s="8">
        <f>+G5+G8+G11+G14</f>
        <v>66511.650000000009</v>
      </c>
      <c r="H17" s="8">
        <f>+H5+H8+H11+H14</f>
        <v>80699.700000000012</v>
      </c>
      <c r="I17" s="9">
        <f t="shared" ref="I17" si="11">H17/E17</f>
        <v>0.83533576585668823</v>
      </c>
      <c r="J17" s="9">
        <v>0.13739999999999999</v>
      </c>
      <c r="K17" s="14">
        <f>J17/$F$2</f>
        <v>0.34349999999999997</v>
      </c>
      <c r="L17" s="9">
        <v>0.26229999999999998</v>
      </c>
      <c r="M17" s="15">
        <f>L17/$G$2</f>
        <v>0.8743333333333333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CampoGrande</vt:lpstr>
      <vt:lpstr>Dourados</vt:lpstr>
      <vt:lpstr>TresLagoas</vt:lpstr>
      <vt:lpstr>ChapadaodoSul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Caioba</dc:creator>
  <cp:lastModifiedBy>Grupo Caioba</cp:lastModifiedBy>
  <cp:lastPrinted>2026-08-01T13:03:00Z</cp:lastPrinted>
  <dcterms:created xsi:type="dcterms:W3CDTF">2026-07-17T11:42:49Z</dcterms:created>
  <dcterms:modified xsi:type="dcterms:W3CDTF">2026-09-01T20:27:54Z</dcterms:modified>
</cp:coreProperties>
</file>